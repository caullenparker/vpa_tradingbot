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aull\OneDrive\Desktop\Trading\Live_Folder\TradingBot\Performance Tracker\"/>
    </mc:Choice>
  </mc:AlternateContent>
  <xr:revisionPtr revIDLastSave="0" documentId="8_{D65E5303-FF5D-4A3C-9002-108A237C7A5C}" xr6:coauthVersionLast="47" xr6:coauthVersionMax="47" xr10:uidLastSave="{00000000-0000-0000-0000-000000000000}"/>
  <bookViews>
    <workbookView xWindow="26835" yWindow="2520" windowWidth="23340" windowHeight="17640" xr2:uid="{7872AB88-D5AD-4B38-B3CD-845B8D0F80A2}"/>
  </bookViews>
  <sheets>
    <sheet name="Options" sheetId="1" r:id="rId1"/>
    <sheet name="Chart" sheetId="2" r:id="rId2"/>
  </sheets>
  <definedNames>
    <definedName name="\D">#REF!</definedName>
    <definedName name="\E">#REF!</definedName>
    <definedName name="\Q">#REF!</definedName>
    <definedName name="\W">#REF!</definedName>
    <definedName name="\Z">#REF!</definedName>
    <definedName name="____PG1">#REF!</definedName>
    <definedName name="____PG2">#REF!</definedName>
    <definedName name="____PG3">#REF!</definedName>
    <definedName name="___PG1">#REF!</definedName>
    <definedName name="___PG2">#REF!</definedName>
    <definedName name="___PG3">#REF!</definedName>
    <definedName name="__dan1" hidden="1">#REF!</definedName>
    <definedName name="__PG1">#REF!</definedName>
    <definedName name="__PG2">#REF!</definedName>
    <definedName name="__PG3">#REF!</definedName>
    <definedName name="_dan1" hidden="1">#REF!</definedName>
    <definedName name="_Fill" hidden="1">#REF!</definedName>
    <definedName name="_xlnm._FilterDatabase">Portal #REF!</definedName>
    <definedName name="_Key1" hidden="1">#REF!</definedName>
    <definedName name="_Order1" hidden="1">255</definedName>
    <definedName name="_Order2" hidden="1">255</definedName>
    <definedName name="_PG1">#REF!</definedName>
    <definedName name="_PG2">#REF!</definedName>
    <definedName name="_PG3">#REF!</definedName>
    <definedName name="_Sort" hidden="1">#REF!</definedName>
    <definedName name="Accrued_Liabilities">#REF!</definedName>
    <definedName name="Acquisition_costs">{5123010,5123070,5125050}</definedName>
    <definedName name="Admin_exp">{6170020,6170030,6170140,6170180,6170210,6170380}</definedName>
    <definedName name="ae">#REF!</definedName>
    <definedName name="AL">#REF!</definedName>
    <definedName name="Amortization_exp">{7300010}</definedName>
    <definedName name="April_Development">#REF!</definedName>
    <definedName name="April_Stabalized">#REF!</definedName>
    <definedName name="asdg" hidden="1">#REF!</definedName>
    <definedName name="asf" hidden="1">#REF!</definedName>
    <definedName name="asfd" hidden="1">#REF!</definedName>
    <definedName name="asfdasg" hidden="1">#REF!</definedName>
    <definedName name="asgasdg" hidden="1">#REF!</definedName>
    <definedName name="asgasgd" hidden="1">#REF!</definedName>
    <definedName name="base">#REF!</definedName>
    <definedName name="bear">#REF!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uy_Side_Beneficiary">#REF!</definedName>
    <definedName name="Buy_Side_Commission">#REF!</definedName>
    <definedName name="Cantor">#REF!</definedName>
    <definedName name="CapEx_Year1">700</definedName>
    <definedName name="CapEx_Year1Plus">1000</definedName>
    <definedName name="Capital_Invested">#REF!</definedName>
    <definedName name="Capitalized_Premium_Revenue">#REF!</definedName>
    <definedName name="Cash_Reserve">#REF!</definedName>
    <definedName name="CLIENT">#REF!</definedName>
    <definedName name="Cost_of_Sale">{8100030,8100031,8100032,8100033,8100034,8100037,8100038,8100039,8100060,8100080}</definedName>
    <definedName name="Countrywide">#REF!</definedName>
    <definedName name="Credit_Loss">#REF!</definedName>
    <definedName name="d">#REF!</definedName>
    <definedName name="danny" hidden="1">#REF!</definedName>
    <definedName name="_xlnm.Database">#REF!</definedName>
    <definedName name="DATE">#REF!</definedName>
    <definedName name="Depr_exp">{7100010,7100020,7100040,7100065,7100070,7100080,7100100,7100110,7100130,7100140,7100160,7100170,7100210,7100220}</definedName>
    <definedName name="dfasdfwse">#REF!</definedName>
    <definedName name="dfg" hidden="1">#REF!</definedName>
    <definedName name="dgd">#REF!</definedName>
    <definedName name="DUE">#REF!</definedName>
    <definedName name="EOP">#REF!</definedName>
    <definedName name="Excel_BuiltIn_Print_Area">#REF!</definedName>
    <definedName name="fd" hidden="1">#REF!</definedName>
    <definedName name="Feb_Development_Allocation">#REF!</definedName>
    <definedName name="Feb_Stabalized_Allocation">#REF!</definedName>
    <definedName name="Fees">{4150010,4150020,4150030,4150040,4150050,4170050,4170070,4350010,4350011,4350030,4350080,4370030,4370040,4370055,4370060,4370070,4370071,4370075,4370076}</definedName>
    <definedName name="FGDGF">#REF!</definedName>
    <definedName name="Final_CF_TEST">#REF!</definedName>
    <definedName name="Final_Closing_Date">#REF!</definedName>
    <definedName name="Franchise_state_tax">{6170280,6170300,6170305,6170310}</definedName>
    <definedName name="Fund_Expenses">#REF!</definedName>
    <definedName name="GP_Stake_Carried_Interest">#REF!</definedName>
    <definedName name="Gross_Rent">{4110010,4110020,4110030,4110090,4110120,4110150,4170020}</definedName>
    <definedName name="HOA_dues">{5115010,5115020,5115030,5115035}</definedName>
    <definedName name="ING">#REF!</definedName>
    <definedName name="Interst_exp">{6340050}</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CCOUNT_CHANGE" hidden="1">"c1449"</definedName>
    <definedName name="IQ_ACCOUNTING_FFIEC" hidden="1">"c13054"</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 hidden="1">"c8960"</definedName>
    <definedName name="IQ_AGENCY_INVEST_SECURITIES_FFIEC" hidden="1">"c13458"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INDUSTRIAL_LOANS_FFIEC" hidden="1">"c12821"</definedName>
    <definedName name="IQ_COMM_INDUSTRIAL_NON_US_LL_REC_FFIEC" hidden="1">"c12888"</definedName>
    <definedName name="IQ_COMM_INDUSTRIAL_US_LL_REC_FFIEC" hidden="1">"c12887"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BOTTOM_UP_CIQ" hidden="1">"c12026"</definedName>
    <definedName name="IQ_EPS_EST_CIQ" hidden="1">"c4994"</definedName>
    <definedName name="IQ_EPS_EST_REUT" hidden="1">"c5453"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BOTTOM_UP_CIQ" hidden="1">"c12027"</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OP_DEBT_GUARANTEED_FFIEC" hidden="1">"c12971"</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REV" hidden="1">"c2113"</definedName>
    <definedName name="IQ_EST_ACT_REV_CIQ" hidden="1">"c3666"</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BITDA_DIFF" hidden="1">"c1867"</definedName>
    <definedName name="IQ_EST_EBITDA_DIFF_CIQ" hidden="1">"c3719"</definedName>
    <definedName name="IQ_EST_EBITDA_SURPRISE_PERCENT" hidden="1">"c1868"</definedName>
    <definedName name="IQ_EST_EBITDA_SURPRISE_PERCENT_CIQ" hidden="1">"c3720"</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URPRISE_PERCENT" hidden="1">"c1635"</definedName>
    <definedName name="IQ_EST_EPS_SURPRISE_PERCENT_CIQ" hidden="1">"c5000"</definedName>
    <definedName name="IQ_EST_FAIR_VALUE_MORT_SERVICING_ASSETS_FFIEC" hidden="1">"c12956"</definedName>
    <definedName name="IQ_EST_FOOTNOTE" hidden="1">"c4540"</definedName>
    <definedName name="IQ_EST_FOOTNOTE_CIQ" hidden="1">"c12022"</definedName>
    <definedName name="IQ_EST_REV_DIFF" hidden="1">"c1865"</definedName>
    <definedName name="IQ_EST_REV_DIFF_CIQ" hidden="1">"c3717"</definedName>
    <definedName name="IQ_EST_REV_SURPRISE_PERCENT" hidden="1">"c1866"</definedName>
    <definedName name="IQ_EST_REV_SURPRISE_PERCENT_CIQ" hidden="1">"c3718"</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"jia"</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Q" hidden="1">500</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"c1407"</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MES_REVISION_DATE_" hidden="1">42232.7774305556</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FFIEC" hidden="1">"c13034"</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"c1399"</definedName>
    <definedName name="IQ_NON_CASH_ITEMS" hidden="1">"c797"</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OPERATING_INC_AVG_ASSETS_FFIEC" hidden="1">"c13365"</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BEFORE_LL_FFIEC" hidden="1">"c13018"</definedName>
    <definedName name="IQ_REVENUE_EST" hidden="1">"c1126"</definedName>
    <definedName name="IQ_REVENUE_EST_BOTTOM_UP_CIQ" hidden="1">"c12025"</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39925.6989351852</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EQUITY_ASSETS_FFIEC" hidden="1">"c13346"</definedName>
    <definedName name="IQ_TANGIBLE_TIER_1_LEVERAGE_FFIEC" hidden="1">"c13345"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THAN_100K_FDIC" hidden="1">"c6465"</definedName>
    <definedName name="IQ_TIME_DEPOSITS_MORE_100K_OTHER_INSTITUTIONS_FFIEC" hidden="1">"c12954"</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INT_EXPENSE_FFIEC" hidden="1">"c13000"</definedName>
    <definedName name="IQ_TOTAL_INT_INCOME_FFIEC" hidden="1">"c12989"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Labels.">#REF!</definedName>
    <definedName name="Leasing_and_other_fee">{5121010,5121020,5121025,5125030,5125040,5127010,4130090,4130100,6170220,6170248,6170260,6210000}</definedName>
    <definedName name="Leasing_fee_new_applicant">#REF!</definedName>
    <definedName name="Libor_1M">2%</definedName>
    <definedName name="Liquid">#REF!</definedName>
    <definedName name="Liquidation_Date">#REF!</definedName>
    <definedName name="Loss_on_impaired_prop">{5127090,5127100,5127110,5127111,8100070}</definedName>
    <definedName name="LP_Commitment">#REF!</definedName>
    <definedName name="Maintenance_Net">{4130010,4130020,4130030,4130040,5117010,5117015,5117020,5117030,5117040,5117050,5117060,5117070,5117080,5117900}</definedName>
    <definedName name="March_Development">#REF!</definedName>
    <definedName name="March_Stabalized">#REF!</definedName>
    <definedName name="Marketing_Seasonality">#REF!</definedName>
    <definedName name="Mgmt_Stake_Carried_Interest">#REF!</definedName>
    <definedName name="MSA">#REF!</definedName>
    <definedName name="NAV">#REF!</definedName>
    <definedName name="Occupancy">#REF!</definedName>
    <definedName name="Occupancy_technology_service">{6130140,6130150,6140050}</definedName>
    <definedName name="Other_Income">#REF!</definedName>
    <definedName name="Pct_LPs_Pay_Mgmt_Fee_">#REF!</definedName>
    <definedName name="Post_Repair_NOI_Rate">#REF!</definedName>
    <definedName name="Price_Appreciation">#REF!</definedName>
    <definedName name="pricing">#REF!</definedName>
    <definedName name="_xlnm.Print_Area">#REF!</definedName>
    <definedName name="Print_Area2">#REF!</definedName>
    <definedName name="PrintArea">#REF!</definedName>
    <definedName name="professional_fees">{6150010,6150040,6150060}</definedName>
    <definedName name="Prop_Insurance">{5113010,5113020,5113030}</definedName>
    <definedName name="Prop_Mgt_Fee">{5125060}</definedName>
    <definedName name="real_estate_taxes_fees">{5111010,5111015,5111020,5111030,511106}</definedName>
    <definedName name="Rent_Concessions">{4110050,4110060}</definedName>
    <definedName name="Rent_Growth_Rate_Seasonailty">#REF!</definedName>
    <definedName name="Repair_Cost">#REF!</definedName>
    <definedName name="Repair_Maint">#REF!</definedName>
    <definedName name="Repair_Time">#REF!</definedName>
    <definedName name="Risk_Capitalized_Premium_Revenue">#REF!</definedName>
    <definedName name="Risk_Running_Premium_Expense">#REF!</definedName>
    <definedName name="Risk_Running_Premium_Payable">#REF!</definedName>
    <definedName name="Risk_Running_Premium_Receivable">#REF!</definedName>
    <definedName name="Risk_Running_Premium_Revenue">#REF!</definedName>
    <definedName name="Risk_Termination_Premium_Receivable">#REF!</definedName>
    <definedName name="Risk_Termination_Premium_Revenue">#REF!</definedName>
    <definedName name="Risk_Up_Front_Premium_Expense">#REF!</definedName>
    <definedName name="Risk_Up_Front_Premium_Payable">#REF!</definedName>
    <definedName name="Risk_Up_Front_Premium_Receivable">#REF!</definedName>
    <definedName name="Risk_Up_Front_Premium_Revenue">#REF!</definedName>
    <definedName name="Running_Premium_Expense">#REF!</definedName>
    <definedName name="Running_Premium_Payable">#REF!</definedName>
    <definedName name="Running_Premium_Receivable">#REF!</definedName>
    <definedName name="Running_Premium_Revenue">#REF!</definedName>
    <definedName name="S">#REF!</definedName>
    <definedName name="Sale_Side_Beneficiary">#REF!</definedName>
    <definedName name="Sale_Side_Commission">#REF!</definedName>
    <definedName name="SALES">#REF!</definedName>
    <definedName name="SALESMAN">#REF!</definedName>
    <definedName name="sdfa" hidden="1">#REF!</definedName>
    <definedName name="Season_factor">#REF!</definedName>
    <definedName name="Selected_market">#REF!</definedName>
    <definedName name="SLP_Stake_Carried_Interest">#REF!</definedName>
    <definedName name="Spyglass">#REF!</definedName>
    <definedName name="start">#REF!</definedName>
    <definedName name="Starting_Capital">#REF!</definedName>
    <definedName name="Starting_Debt">#REF!</definedName>
    <definedName name="Starting_Equity">#REF!</definedName>
    <definedName name="Starting_In_Repair">#REF!</definedName>
    <definedName name="Starting_Post_Repair">#REF!</definedName>
    <definedName name="Starting_Stabilized">#REF!</definedName>
    <definedName name="Termination_Premium_Receivable">#REF!</definedName>
    <definedName name="Termination_Premium_Revenue">#REF!</definedName>
    <definedName name="THORN">#REF!</definedName>
    <definedName name="time">#REF!</definedName>
    <definedName name="Total_Portfolio">"&lt;&gt;"</definedName>
    <definedName name="Trade_Date">#REF!</definedName>
    <definedName name="Travel_meals_entertainment">{6120040,6120110}</definedName>
    <definedName name="Turn_Net">{4130050,4170010,4170015,4170030,4170035,4170060,4170065,5119010,5119015,5119020,5119021,5119030,5119040,5119050,5119060,5119070}</definedName>
    <definedName name="Turnover">#REF!</definedName>
    <definedName name="Up_Front_Premium_Expense">#REF!</definedName>
    <definedName name="Up_Front_Premium_Payable">#REF!</definedName>
    <definedName name="Up_Front_Premium_Receivable">#REF!</definedName>
    <definedName name="Up_Front_Premium_Revenue">#REF!</definedName>
    <definedName name="Vacancy">{4110100,4110110}</definedName>
    <definedName name="Val_Date">#REF!</definedName>
    <definedName name="Valuation_Date">#REF!</definedName>
    <definedName name="WA_Cap_Rate">#REF!</definedName>
    <definedName name="WIRE">#REF!</definedName>
    <definedName name="Working_Capi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M92" i="1" l="1"/>
  <c r="AM91" i="1"/>
  <c r="AM90" i="1"/>
  <c r="AM89" i="1"/>
  <c r="AM88" i="1"/>
  <c r="AM87" i="1"/>
  <c r="AM86" i="1"/>
  <c r="AM85" i="1"/>
  <c r="AM84" i="1"/>
  <c r="AM83" i="1"/>
  <c r="AM82" i="1"/>
  <c r="AM81" i="1"/>
  <c r="AM80" i="1"/>
  <c r="AM79" i="1"/>
  <c r="AM78" i="1"/>
  <c r="AM77" i="1"/>
  <c r="AM76" i="1"/>
  <c r="AM75" i="1"/>
  <c r="AM74" i="1"/>
  <c r="AM73" i="1"/>
  <c r="AM72" i="1"/>
  <c r="AM71" i="1"/>
  <c r="AM70" i="1"/>
  <c r="S70" i="1"/>
  <c r="S72" i="1" s="1"/>
  <c r="AM69" i="1"/>
  <c r="S69" i="1"/>
  <c r="AM68" i="1"/>
  <c r="S68" i="1"/>
  <c r="H68" i="1"/>
  <c r="M68" i="1" s="1"/>
  <c r="AM67" i="1"/>
  <c r="H67" i="1"/>
  <c r="M67" i="1" s="1"/>
  <c r="AM66" i="1"/>
  <c r="AB66" i="1"/>
  <c r="X66" i="1"/>
  <c r="R66" i="1"/>
  <c r="H66" i="1"/>
  <c r="M66" i="1" s="1"/>
  <c r="AM65" i="1"/>
  <c r="AB65" i="1"/>
  <c r="Q65" i="1"/>
  <c r="M65" i="1"/>
  <c r="H65" i="1"/>
  <c r="AM64" i="1"/>
  <c r="AB64" i="1"/>
  <c r="Q64" i="1"/>
  <c r="H64" i="1"/>
  <c r="M64" i="1" s="1"/>
  <c r="AM63" i="1"/>
  <c r="Q63" i="1"/>
  <c r="M63" i="1"/>
  <c r="H63" i="1"/>
  <c r="AQ62" i="1"/>
  <c r="AM62" i="1"/>
  <c r="Q62" i="1"/>
  <c r="AM61" i="1"/>
  <c r="AB61" i="1"/>
  <c r="Y61" i="1"/>
  <c r="X61" i="1"/>
  <c r="Q61" i="1"/>
  <c r="AM60" i="1"/>
  <c r="AB60" i="1"/>
  <c r="Y60" i="1"/>
  <c r="X60" i="1"/>
  <c r="S60" i="1"/>
  <c r="AM59" i="1"/>
  <c r="AB59" i="1"/>
  <c r="Y59" i="1"/>
  <c r="X59" i="1"/>
  <c r="AM58" i="1"/>
  <c r="AB58" i="1"/>
  <c r="Y58" i="1"/>
  <c r="X58" i="1"/>
  <c r="R58" i="1"/>
  <c r="H58" i="1"/>
  <c r="M58" i="1" s="1"/>
  <c r="AM57" i="1"/>
  <c r="AB57" i="1"/>
  <c r="Y57" i="1"/>
  <c r="X57" i="1"/>
  <c r="AM56" i="1"/>
  <c r="AB56" i="1"/>
  <c r="X56" i="1"/>
  <c r="R56" i="1"/>
  <c r="H56" i="1"/>
  <c r="M56" i="1" s="1"/>
  <c r="AM55" i="1"/>
  <c r="AB55" i="1"/>
  <c r="Y55" i="1"/>
  <c r="Y56" i="1" s="1"/>
  <c r="X55" i="1"/>
  <c r="AM54" i="1"/>
  <c r="AB54" i="1"/>
  <c r="Y54" i="1"/>
  <c r="X54" i="1"/>
  <c r="AM53" i="1"/>
  <c r="AB53" i="1"/>
  <c r="Y53" i="1"/>
  <c r="X53" i="1"/>
  <c r="AM52" i="1"/>
  <c r="AB52" i="1"/>
  <c r="Y52" i="1"/>
  <c r="X52" i="1"/>
  <c r="AM51" i="1"/>
  <c r="AB51" i="1"/>
  <c r="Y51" i="1"/>
  <c r="X51" i="1"/>
  <c r="AM50" i="1"/>
  <c r="AB50" i="1"/>
  <c r="Y50" i="1"/>
  <c r="X50" i="1"/>
  <c r="AM49" i="1"/>
  <c r="AB49" i="1"/>
  <c r="Y49" i="1"/>
  <c r="X49" i="1"/>
  <c r="AM48" i="1"/>
  <c r="AB48" i="1"/>
  <c r="Y48" i="1"/>
  <c r="X48" i="1"/>
  <c r="AM47" i="1"/>
  <c r="AB47" i="1"/>
  <c r="Y47" i="1"/>
  <c r="X47" i="1"/>
  <c r="AM46" i="1"/>
  <c r="AB46" i="1"/>
  <c r="Y46" i="1"/>
  <c r="X46" i="1"/>
  <c r="S46" i="1"/>
  <c r="S48" i="1" s="1"/>
  <c r="AM45" i="1"/>
  <c r="AB45" i="1"/>
  <c r="Y45" i="1"/>
  <c r="X45" i="1"/>
  <c r="S45" i="1"/>
  <c r="AM44" i="1"/>
  <c r="AB44" i="1"/>
  <c r="Y44" i="1"/>
  <c r="X44" i="1"/>
  <c r="H44" i="1"/>
  <c r="M44" i="1" s="1"/>
  <c r="AM43" i="1"/>
  <c r="AB43" i="1"/>
  <c r="Y43" i="1"/>
  <c r="X43" i="1"/>
  <c r="S43" i="1"/>
  <c r="H43" i="1"/>
  <c r="M43" i="1" s="1"/>
  <c r="AM42" i="1"/>
  <c r="AL42" i="1"/>
  <c r="AB42" i="1"/>
  <c r="Y42" i="1"/>
  <c r="X42" i="1"/>
  <c r="M42" i="1"/>
  <c r="H42" i="1"/>
  <c r="AN41" i="1"/>
  <c r="AM41" i="1"/>
  <c r="AB41" i="1"/>
  <c r="Y41" i="1"/>
  <c r="X41" i="1"/>
  <c r="H41" i="1"/>
  <c r="M41" i="1" s="1"/>
  <c r="AB40" i="1"/>
  <c r="Y40" i="1"/>
  <c r="X40" i="1"/>
  <c r="R40" i="1"/>
  <c r="M40" i="1"/>
  <c r="H40" i="1"/>
  <c r="AB39" i="1"/>
  <c r="Y39" i="1"/>
  <c r="X39" i="1"/>
  <c r="M39" i="1"/>
  <c r="H39" i="1"/>
  <c r="AB38" i="1"/>
  <c r="Y38" i="1"/>
  <c r="X38" i="1"/>
  <c r="H38" i="1"/>
  <c r="M38" i="1" s="1"/>
  <c r="AB37" i="1"/>
  <c r="Y37" i="1"/>
  <c r="X37" i="1"/>
  <c r="H37" i="1"/>
  <c r="M37" i="1" s="1"/>
  <c r="AB36" i="1"/>
  <c r="Y36" i="1"/>
  <c r="X36" i="1"/>
  <c r="M36" i="1"/>
  <c r="H36" i="1"/>
  <c r="AB35" i="1"/>
  <c r="Y35" i="1"/>
  <c r="X35" i="1"/>
  <c r="M35" i="1"/>
  <c r="H35" i="1"/>
  <c r="AB34" i="1"/>
  <c r="Y34" i="1"/>
  <c r="X34" i="1"/>
  <c r="H34" i="1"/>
  <c r="M34" i="1" s="1"/>
  <c r="AB33" i="1"/>
  <c r="Y33" i="1"/>
  <c r="X33" i="1"/>
  <c r="P33" i="1"/>
  <c r="M33" i="1"/>
  <c r="H33" i="1"/>
  <c r="AE32" i="1"/>
  <c r="AB32" i="1"/>
  <c r="AA32" i="1"/>
  <c r="Y32" i="1"/>
  <c r="T32" i="1"/>
  <c r="R32" i="1"/>
  <c r="H32" i="1"/>
  <c r="M32" i="1" s="1"/>
  <c r="AB31" i="1"/>
  <c r="R31" i="1"/>
  <c r="H31" i="1"/>
  <c r="M31" i="1" s="1"/>
  <c r="AB30" i="1"/>
  <c r="R30" i="1"/>
  <c r="M30" i="1"/>
  <c r="H30" i="1"/>
  <c r="AB29" i="1"/>
  <c r="R29" i="1"/>
  <c r="H29" i="1"/>
  <c r="M29" i="1" s="1"/>
  <c r="AB28" i="1"/>
  <c r="R28" i="1"/>
  <c r="H28" i="1"/>
  <c r="M28" i="1" s="1"/>
  <c r="AB27" i="1"/>
  <c r="M27" i="1"/>
  <c r="H27" i="1"/>
  <c r="AB26" i="1"/>
  <c r="R26" i="1"/>
  <c r="M26" i="1"/>
  <c r="H26" i="1"/>
  <c r="AB25" i="1"/>
  <c r="R25" i="1"/>
  <c r="M25" i="1"/>
  <c r="H25" i="1"/>
  <c r="AB24" i="1"/>
  <c r="R24" i="1"/>
  <c r="H24" i="1"/>
  <c r="M24" i="1" s="1"/>
  <c r="AB23" i="1"/>
  <c r="R23" i="1"/>
  <c r="H23" i="1"/>
  <c r="M23" i="1" s="1"/>
  <c r="AB22" i="1"/>
  <c r="M22" i="1"/>
  <c r="H22" i="1"/>
  <c r="AB21" i="1"/>
  <c r="H21" i="1"/>
  <c r="M21" i="1" s="1"/>
  <c r="Q20" i="1"/>
  <c r="H20" i="1"/>
  <c r="M20" i="1" s="1"/>
  <c r="AB19" i="1"/>
  <c r="X19" i="1"/>
  <c r="M19" i="1"/>
  <c r="H19" i="1"/>
  <c r="AB18" i="1"/>
  <c r="R18" i="1"/>
  <c r="H18" i="1"/>
  <c r="M18" i="1" s="1"/>
  <c r="AB17" i="1"/>
  <c r="R17" i="1"/>
  <c r="H17" i="1"/>
  <c r="M17" i="1" s="1"/>
  <c r="AB16" i="1"/>
  <c r="R16" i="1"/>
  <c r="M16" i="1"/>
  <c r="H16" i="1"/>
  <c r="AB15" i="1"/>
  <c r="R15" i="1"/>
  <c r="H15" i="1"/>
  <c r="M15" i="1" s="1"/>
  <c r="AB14" i="1"/>
  <c r="R14" i="1"/>
  <c r="H14" i="1"/>
  <c r="M14" i="1" s="1"/>
  <c r="AB13" i="1"/>
  <c r="X13" i="1"/>
  <c r="M13" i="1"/>
  <c r="H13" i="1"/>
  <c r="AB12" i="1"/>
  <c r="X12" i="1"/>
  <c r="M12" i="1"/>
  <c r="H12" i="1"/>
  <c r="AB11" i="1"/>
  <c r="X11" i="1"/>
  <c r="M11" i="1"/>
  <c r="H11" i="1"/>
  <c r="AB10" i="1"/>
  <c r="X10" i="1"/>
  <c r="M10" i="1"/>
  <c r="H10" i="1"/>
  <c r="AB9" i="1"/>
  <c r="R9" i="1"/>
  <c r="M9" i="1"/>
  <c r="H9" i="1"/>
  <c r="AB8" i="1"/>
  <c r="R8" i="1"/>
  <c r="M8" i="1"/>
  <c r="H8" i="1"/>
  <c r="AM7" i="1"/>
  <c r="AB7" i="1"/>
  <c r="R7" i="1"/>
  <c r="M7" i="1"/>
  <c r="H7" i="1"/>
  <c r="M6" i="1"/>
  <c r="G6" i="1"/>
  <c r="C6" i="1"/>
  <c r="AB5" i="1"/>
  <c r="Y5" i="1"/>
  <c r="U5" i="1"/>
  <c r="P5" i="1"/>
  <c r="AE5" i="1" s="1"/>
  <c r="M5" i="1"/>
  <c r="G5" i="1"/>
  <c r="E5" i="1"/>
  <c r="I5" i="1" s="1"/>
  <c r="E6" i="1" s="1"/>
  <c r="I6" i="1" s="1"/>
  <c r="E7" i="1" s="1"/>
  <c r="G7" i="1" s="1"/>
  <c r="D5" i="1"/>
  <c r="X5" i="1" s="1"/>
  <c r="C5" i="1"/>
  <c r="AM4" i="1"/>
  <c r="AE4" i="1"/>
  <c r="AB4" i="1"/>
  <c r="AA4" i="1"/>
  <c r="X4" i="1"/>
  <c r="T4" i="1"/>
  <c r="R4" i="1"/>
  <c r="M4" i="1"/>
  <c r="K4" i="1"/>
  <c r="N4" i="1" s="1"/>
  <c r="I4" i="1"/>
  <c r="G4" i="1"/>
  <c r="D4" i="1"/>
  <c r="W4" i="1" l="1"/>
  <c r="N5" i="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H48" i="1"/>
  <c r="M48" i="1" s="1"/>
  <c r="S50" i="1"/>
  <c r="H46" i="1"/>
  <c r="M46" i="1" s="1"/>
  <c r="H70" i="1"/>
  <c r="M70" i="1" s="1"/>
  <c r="AQ63" i="1"/>
  <c r="AQ65" i="1" s="1"/>
  <c r="Y62" i="1"/>
  <c r="X62" i="1"/>
  <c r="R5" i="1"/>
  <c r="T5" i="1"/>
  <c r="I7" i="1"/>
  <c r="E8" i="1" s="1"/>
  <c r="T33" i="1"/>
  <c r="P34" i="1" s="1"/>
  <c r="R33" i="1"/>
  <c r="AE33" i="1"/>
  <c r="AB62" i="1"/>
  <c r="X21" i="1"/>
  <c r="X20" i="1"/>
  <c r="AB20" i="1"/>
  <c r="AA5" i="1"/>
  <c r="AA33" i="1"/>
  <c r="H45" i="1"/>
  <c r="M45" i="1" s="1"/>
  <c r="S47" i="1"/>
  <c r="X22" i="1"/>
  <c r="H72" i="1"/>
  <c r="M72" i="1" s="1"/>
  <c r="S74" i="1"/>
  <c r="V4" i="1"/>
  <c r="AF4" i="1" s="1"/>
  <c r="AG4" i="1" s="1"/>
  <c r="AN42" i="1"/>
  <c r="AL43" i="1" s="1"/>
  <c r="H60" i="1"/>
  <c r="M60" i="1" s="1"/>
  <c r="S62" i="1"/>
  <c r="H62" i="1" s="1"/>
  <c r="M62" i="1" s="1"/>
  <c r="C7" i="1"/>
  <c r="D6" i="1"/>
  <c r="Y65" i="1"/>
  <c r="X65" i="1"/>
  <c r="Y63" i="1"/>
  <c r="X63" i="1"/>
  <c r="S71" i="1"/>
  <c r="H69" i="1"/>
  <c r="M69" i="1" s="1"/>
  <c r="Y64" i="1"/>
  <c r="X64" i="1"/>
  <c r="AB63" i="1"/>
  <c r="AM93" i="1"/>
  <c r="AN43" i="1" l="1"/>
  <c r="AL44" i="1" s="1"/>
  <c r="T34" i="1"/>
  <c r="P35" i="1" s="1"/>
  <c r="R34" i="1"/>
  <c r="AE34" i="1"/>
  <c r="AA34" i="1"/>
  <c r="S76" i="1"/>
  <c r="H74" i="1"/>
  <c r="M74" i="1" s="1"/>
  <c r="G8" i="1"/>
  <c r="I8" i="1"/>
  <c r="E9" i="1" s="1"/>
  <c r="D7" i="1"/>
  <c r="C8" i="1"/>
  <c r="H50" i="1"/>
  <c r="M50" i="1" s="1"/>
  <c r="S52" i="1"/>
  <c r="K42" i="1"/>
  <c r="N42" i="1" s="1"/>
  <c r="H47" i="1"/>
  <c r="M47" i="1" s="1"/>
  <c r="S49" i="1"/>
  <c r="W5" i="1"/>
  <c r="V5" i="1"/>
  <c r="AF5" i="1" s="1"/>
  <c r="AG5" i="1" s="1"/>
  <c r="P6" i="1"/>
  <c r="S73" i="1"/>
  <c r="H71" i="1"/>
  <c r="M71" i="1" s="1"/>
  <c r="K43" i="1" l="1"/>
  <c r="N43" i="1" s="1"/>
  <c r="AN44" i="1"/>
  <c r="AL45" i="1" s="1"/>
  <c r="H73" i="1"/>
  <c r="M73" i="1" s="1"/>
  <c r="S75" i="1"/>
  <c r="AE6" i="1"/>
  <c r="Q6" i="1"/>
  <c r="H76" i="1"/>
  <c r="M76" i="1" s="1"/>
  <c r="S78" i="1"/>
  <c r="H52" i="1"/>
  <c r="M52" i="1" s="1"/>
  <c r="S54" i="1"/>
  <c r="H54" i="1" s="1"/>
  <c r="M54" i="1" s="1"/>
  <c r="C9" i="1"/>
  <c r="D8" i="1"/>
  <c r="I9" i="1"/>
  <c r="E10" i="1" s="1"/>
  <c r="G9" i="1"/>
  <c r="R35" i="1"/>
  <c r="T35" i="1"/>
  <c r="P36" i="1" s="1"/>
  <c r="AE35" i="1"/>
  <c r="AA35" i="1"/>
  <c r="S51" i="1"/>
  <c r="H49" i="1"/>
  <c r="M49" i="1" s="1"/>
  <c r="AN45" i="1" l="1"/>
  <c r="AL46" i="1" s="1"/>
  <c r="K44" i="1"/>
  <c r="N44" i="1" s="1"/>
  <c r="C10" i="1"/>
  <c r="D9" i="1"/>
  <c r="H78" i="1"/>
  <c r="M78" i="1" s="1"/>
  <c r="S80" i="1"/>
  <c r="G10" i="1"/>
  <c r="I10" i="1"/>
  <c r="E11" i="1" s="1"/>
  <c r="Y19" i="1"/>
  <c r="Y21" i="1"/>
  <c r="Y22" i="1"/>
  <c r="Y23" i="1" s="1"/>
  <c r="Y24" i="1" s="1"/>
  <c r="Y25" i="1" s="1"/>
  <c r="Y26" i="1" s="1"/>
  <c r="Y10" i="1"/>
  <c r="AM9" i="1"/>
  <c r="AM10" i="1" s="1"/>
  <c r="Y13" i="1"/>
  <c r="Y14" i="1" s="1"/>
  <c r="Y15" i="1" s="1"/>
  <c r="Y16" i="1" s="1"/>
  <c r="Y17" i="1" s="1"/>
  <c r="Y18" i="1" s="1"/>
  <c r="Y12" i="1"/>
  <c r="Y11" i="1"/>
  <c r="Y6" i="1"/>
  <c r="Y7" i="1" s="1"/>
  <c r="Y8" i="1" s="1"/>
  <c r="Y9" i="1" s="1"/>
  <c r="Y27" i="1"/>
  <c r="AA6" i="1"/>
  <c r="R6" i="1"/>
  <c r="AB6" i="1"/>
  <c r="U6" i="1"/>
  <c r="Y20" i="1"/>
  <c r="T6" i="1"/>
  <c r="S77" i="1"/>
  <c r="H75" i="1"/>
  <c r="M75" i="1" s="1"/>
  <c r="H51" i="1"/>
  <c r="M51" i="1" s="1"/>
  <c r="S53" i="1"/>
  <c r="AA36" i="1"/>
  <c r="AE36" i="1"/>
  <c r="T36" i="1"/>
  <c r="P37" i="1" s="1"/>
  <c r="R36" i="1"/>
  <c r="K45" i="1" l="1"/>
  <c r="N45" i="1" s="1"/>
  <c r="AN46" i="1"/>
  <c r="AL47" i="1"/>
  <c r="U7" i="1"/>
  <c r="X7" i="1" s="1"/>
  <c r="U8" i="1"/>
  <c r="X8" i="1" s="1"/>
  <c r="X6" i="1"/>
  <c r="S55" i="1"/>
  <c r="H53" i="1"/>
  <c r="M53" i="1" s="1"/>
  <c r="AA37" i="1"/>
  <c r="AE37" i="1"/>
  <c r="T37" i="1"/>
  <c r="P38" i="1" s="1"/>
  <c r="R37" i="1"/>
  <c r="G11" i="1"/>
  <c r="I11" i="1"/>
  <c r="E12" i="1" s="1"/>
  <c r="S79" i="1"/>
  <c r="H77" i="1"/>
  <c r="M77" i="1" s="1"/>
  <c r="S82" i="1"/>
  <c r="H80" i="1"/>
  <c r="M80" i="1" s="1"/>
  <c r="W6" i="1"/>
  <c r="P7" i="1"/>
  <c r="V6" i="1"/>
  <c r="AF6" i="1" s="1"/>
  <c r="AG6" i="1" s="1"/>
  <c r="D10" i="1"/>
  <c r="C11" i="1"/>
  <c r="K46" i="1" l="1"/>
  <c r="N46" i="1" s="1"/>
  <c r="AN47" i="1"/>
  <c r="AL48" i="1" s="1"/>
  <c r="D11" i="1"/>
  <c r="C12" i="1"/>
  <c r="T7" i="1"/>
  <c r="AE7" i="1"/>
  <c r="AA7" i="1"/>
  <c r="S84" i="1"/>
  <c r="H82" i="1"/>
  <c r="M82" i="1" s="1"/>
  <c r="U9" i="1"/>
  <c r="S81" i="1"/>
  <c r="H79" i="1"/>
  <c r="M79" i="1" s="1"/>
  <c r="G12" i="1"/>
  <c r="I12" i="1"/>
  <c r="E13" i="1" s="1"/>
  <c r="AE38" i="1"/>
  <c r="AA38" i="1"/>
  <c r="T38" i="1"/>
  <c r="P39" i="1" s="1"/>
  <c r="R38" i="1"/>
  <c r="S57" i="1"/>
  <c r="H55" i="1"/>
  <c r="M55" i="1" s="1"/>
  <c r="AN48" i="1" l="1"/>
  <c r="AL49" i="1"/>
  <c r="K47" i="1"/>
  <c r="N47" i="1" s="1"/>
  <c r="AE39" i="1"/>
  <c r="AA39" i="1"/>
  <c r="T39" i="1"/>
  <c r="P40" i="1" s="1"/>
  <c r="R39" i="1"/>
  <c r="G13" i="1"/>
  <c r="I13" i="1"/>
  <c r="E14" i="1" s="1"/>
  <c r="P8" i="1"/>
  <c r="W7" i="1"/>
  <c r="V7" i="1"/>
  <c r="AF7" i="1" s="1"/>
  <c r="AG7" i="1" s="1"/>
  <c r="S59" i="1"/>
  <c r="H57" i="1"/>
  <c r="M57" i="1" s="1"/>
  <c r="U11" i="1"/>
  <c r="U10" i="1"/>
  <c r="X9" i="1"/>
  <c r="S86" i="1"/>
  <c r="H84" i="1"/>
  <c r="M84" i="1" s="1"/>
  <c r="H81" i="1"/>
  <c r="M81" i="1" s="1"/>
  <c r="S83" i="1"/>
  <c r="D12" i="1"/>
  <c r="C13" i="1"/>
  <c r="K48" i="1" l="1"/>
  <c r="N48" i="1"/>
  <c r="D13" i="1"/>
  <c r="C14" i="1"/>
  <c r="G14" i="1"/>
  <c r="I14" i="1"/>
  <c r="E15" i="1" s="1"/>
  <c r="U13" i="1"/>
  <c r="AE8" i="1"/>
  <c r="AA8" i="1"/>
  <c r="T8" i="1"/>
  <c r="S61" i="1"/>
  <c r="H61" i="1" s="1"/>
  <c r="M61" i="1" s="1"/>
  <c r="H59" i="1"/>
  <c r="M59" i="1" s="1"/>
  <c r="AA40" i="1"/>
  <c r="AE40" i="1"/>
  <c r="T40" i="1"/>
  <c r="P41" i="1" s="1"/>
  <c r="AN49" i="1"/>
  <c r="AL50" i="1" s="1"/>
  <c r="H86" i="1"/>
  <c r="M86" i="1" s="1"/>
  <c r="S88" i="1"/>
  <c r="U12" i="1"/>
  <c r="H83" i="1"/>
  <c r="M83" i="1" s="1"/>
  <c r="S85" i="1"/>
  <c r="AN50" i="1" l="1"/>
  <c r="AL51" i="1" s="1"/>
  <c r="S87" i="1"/>
  <c r="H85" i="1"/>
  <c r="M85" i="1" s="1"/>
  <c r="U14" i="1"/>
  <c r="U15" i="1" s="1"/>
  <c r="K49" i="1"/>
  <c r="N49" i="1" s="1"/>
  <c r="I15" i="1"/>
  <c r="E16" i="1" s="1"/>
  <c r="G15" i="1"/>
  <c r="AE41" i="1"/>
  <c r="AA41" i="1"/>
  <c r="T41" i="1"/>
  <c r="P42" i="1" s="1"/>
  <c r="R41" i="1"/>
  <c r="C15" i="1"/>
  <c r="D14" i="1"/>
  <c r="H88" i="1"/>
  <c r="M88" i="1" s="1"/>
  <c r="S90" i="1"/>
  <c r="P9" i="1"/>
  <c r="W8" i="1"/>
  <c r="V8" i="1"/>
  <c r="AF8" i="1" s="1"/>
  <c r="AG8" i="1" s="1"/>
  <c r="K50" i="1" l="1"/>
  <c r="N50" i="1" s="1"/>
  <c r="U16" i="1"/>
  <c r="U17" i="1" s="1"/>
  <c r="AN51" i="1"/>
  <c r="AL52" i="1" s="1"/>
  <c r="S89" i="1"/>
  <c r="H87" i="1"/>
  <c r="M87" i="1" s="1"/>
  <c r="U18" i="1"/>
  <c r="U19" i="1" s="1"/>
  <c r="U20" i="1" s="1"/>
  <c r="U21" i="1" s="1"/>
  <c r="U22" i="1" s="1"/>
  <c r="U23" i="1" s="1"/>
  <c r="U24" i="1" s="1"/>
  <c r="U25" i="1" s="1"/>
  <c r="U26" i="1" s="1"/>
  <c r="U27" i="1" s="1"/>
  <c r="U28" i="1" s="1"/>
  <c r="U29" i="1" s="1"/>
  <c r="U30" i="1" s="1"/>
  <c r="U31" i="1" s="1"/>
  <c r="U32" i="1" s="1"/>
  <c r="U33" i="1" s="1"/>
  <c r="U34" i="1" s="1"/>
  <c r="U35" i="1" s="1"/>
  <c r="U36" i="1" s="1"/>
  <c r="U37" i="1" s="1"/>
  <c r="U38" i="1" s="1"/>
  <c r="U39" i="1" s="1"/>
  <c r="U40" i="1" s="1"/>
  <c r="U41" i="1" s="1"/>
  <c r="U42" i="1" s="1"/>
  <c r="U43" i="1" s="1"/>
  <c r="U44" i="1" s="1"/>
  <c r="U45" i="1" s="1"/>
  <c r="U46" i="1" s="1"/>
  <c r="U47" i="1" s="1"/>
  <c r="U48" i="1" s="1"/>
  <c r="AE42" i="1"/>
  <c r="R42" i="1"/>
  <c r="AA42" i="1"/>
  <c r="T42" i="1"/>
  <c r="P43" i="1" s="1"/>
  <c r="AA9" i="1"/>
  <c r="AE9" i="1"/>
  <c r="T9" i="1"/>
  <c r="X14" i="1"/>
  <c r="D15" i="1"/>
  <c r="X15" i="1" s="1"/>
  <c r="C16" i="1"/>
  <c r="I16" i="1"/>
  <c r="E17" i="1" s="1"/>
  <c r="G16" i="1"/>
  <c r="S92" i="1"/>
  <c r="H90" i="1"/>
  <c r="M90" i="1" s="1"/>
  <c r="AN52" i="1" l="1"/>
  <c r="AL53" i="1" s="1"/>
  <c r="K51" i="1"/>
  <c r="N51" i="1" s="1"/>
  <c r="U49" i="1"/>
  <c r="U50" i="1" s="1"/>
  <c r="U51" i="1" s="1"/>
  <c r="U52" i="1" s="1"/>
  <c r="U53" i="1" s="1"/>
  <c r="U54" i="1" s="1"/>
  <c r="U55" i="1" s="1"/>
  <c r="U56" i="1" s="1"/>
  <c r="U57" i="1" s="1"/>
  <c r="U58" i="1" s="1"/>
  <c r="U59" i="1" s="1"/>
  <c r="U60" i="1" s="1"/>
  <c r="U61" i="1" s="1"/>
  <c r="U62" i="1" s="1"/>
  <c r="U63" i="1" s="1"/>
  <c r="U64" i="1" s="1"/>
  <c r="U65" i="1" s="1"/>
  <c r="U66" i="1" s="1"/>
  <c r="U67" i="1" s="1"/>
  <c r="U68" i="1" s="1"/>
  <c r="U69" i="1" s="1"/>
  <c r="U70" i="1" s="1"/>
  <c r="U71" i="1" s="1"/>
  <c r="U72" i="1" s="1"/>
  <c r="U73" i="1" s="1"/>
  <c r="U74" i="1" s="1"/>
  <c r="U75" i="1" s="1"/>
  <c r="U76" i="1" s="1"/>
  <c r="U77" i="1" s="1"/>
  <c r="U78" i="1" s="1"/>
  <c r="U79" i="1" s="1"/>
  <c r="U80" i="1" s="1"/>
  <c r="U81" i="1" s="1"/>
  <c r="U82" i="1" s="1"/>
  <c r="U83" i="1" s="1"/>
  <c r="U84" i="1" s="1"/>
  <c r="U85" i="1" s="1"/>
  <c r="U86" i="1" s="1"/>
  <c r="U87" i="1" s="1"/>
  <c r="U88" i="1" s="1"/>
  <c r="U89" i="1" s="1"/>
  <c r="U90" i="1" s="1"/>
  <c r="U91" i="1" s="1"/>
  <c r="U92" i="1" s="1"/>
  <c r="U93" i="1" s="1"/>
  <c r="U94" i="1" s="1"/>
  <c r="U95" i="1" s="1"/>
  <c r="U96" i="1" s="1"/>
  <c r="U97" i="1" s="1"/>
  <c r="U98" i="1" s="1"/>
  <c r="U99" i="1" s="1"/>
  <c r="U100" i="1" s="1"/>
  <c r="U101" i="1" s="1"/>
  <c r="U102" i="1" s="1"/>
  <c r="U103" i="1" s="1"/>
  <c r="U104" i="1" s="1"/>
  <c r="U105" i="1" s="1"/>
  <c r="U106" i="1" s="1"/>
  <c r="U107" i="1" s="1"/>
  <c r="U108" i="1" s="1"/>
  <c r="U109" i="1" s="1"/>
  <c r="U110" i="1" s="1"/>
  <c r="U111" i="1" s="1"/>
  <c r="U112" i="1" s="1"/>
  <c r="U113" i="1" s="1"/>
  <c r="U114" i="1" s="1"/>
  <c r="U115" i="1" s="1"/>
  <c r="U116" i="1" s="1"/>
  <c r="U117" i="1" s="1"/>
  <c r="U118" i="1" s="1"/>
  <c r="U119" i="1" s="1"/>
  <c r="U120" i="1" s="1"/>
  <c r="U121" i="1" s="1"/>
  <c r="U122" i="1" s="1"/>
  <c r="U123" i="1" s="1"/>
  <c r="U124" i="1" s="1"/>
  <c r="U125" i="1" s="1"/>
  <c r="U126" i="1" s="1"/>
  <c r="U127" i="1" s="1"/>
  <c r="U128" i="1" s="1"/>
  <c r="U129" i="1" s="1"/>
  <c r="U130" i="1" s="1"/>
  <c r="U131" i="1" s="1"/>
  <c r="U132" i="1" s="1"/>
  <c r="U133" i="1" s="1"/>
  <c r="U134" i="1" s="1"/>
  <c r="U135" i="1" s="1"/>
  <c r="U136" i="1" s="1"/>
  <c r="U137" i="1" s="1"/>
  <c r="U138" i="1" s="1"/>
  <c r="U139" i="1" s="1"/>
  <c r="U140" i="1" s="1"/>
  <c r="U141" i="1" s="1"/>
  <c r="U142" i="1" s="1"/>
  <c r="U143" i="1" s="1"/>
  <c r="U144" i="1" s="1"/>
  <c r="U145" i="1" s="1"/>
  <c r="U146" i="1" s="1"/>
  <c r="U147" i="1" s="1"/>
  <c r="U148" i="1" s="1"/>
  <c r="U149" i="1" s="1"/>
  <c r="U150" i="1" s="1"/>
  <c r="U151" i="1" s="1"/>
  <c r="U152" i="1" s="1"/>
  <c r="U153" i="1" s="1"/>
  <c r="U154" i="1" s="1"/>
  <c r="U155" i="1" s="1"/>
  <c r="U156" i="1" s="1"/>
  <c r="U157" i="1" s="1"/>
  <c r="U158" i="1" s="1"/>
  <c r="U159" i="1" s="1"/>
  <c r="U160" i="1" s="1"/>
  <c r="U161" i="1" s="1"/>
  <c r="U162" i="1" s="1"/>
  <c r="U163" i="1" s="1"/>
  <c r="U164" i="1" s="1"/>
  <c r="U165" i="1" s="1"/>
  <c r="U166" i="1" s="1"/>
  <c r="U167" i="1" s="1"/>
  <c r="U168" i="1" s="1"/>
  <c r="U169" i="1" s="1"/>
  <c r="U170" i="1" s="1"/>
  <c r="U171" i="1" s="1"/>
  <c r="U172" i="1" s="1"/>
  <c r="U173" i="1" s="1"/>
  <c r="U174" i="1" s="1"/>
  <c r="U175" i="1" s="1"/>
  <c r="U176" i="1" s="1"/>
  <c r="U177" i="1" s="1"/>
  <c r="U178" i="1" s="1"/>
  <c r="U179" i="1" s="1"/>
  <c r="U180" i="1" s="1"/>
  <c r="U181" i="1" s="1"/>
  <c r="U182" i="1" s="1"/>
  <c r="U183" i="1" s="1"/>
  <c r="U184" i="1" s="1"/>
  <c r="U185" i="1" s="1"/>
  <c r="U186" i="1" s="1"/>
  <c r="U187" i="1" s="1"/>
  <c r="U188" i="1" s="1"/>
  <c r="U189" i="1" s="1"/>
  <c r="U190" i="1" s="1"/>
  <c r="U191" i="1" s="1"/>
  <c r="U192" i="1" s="1"/>
  <c r="U193" i="1" s="1"/>
  <c r="U194" i="1" s="1"/>
  <c r="U195" i="1" s="1"/>
  <c r="U196" i="1" s="1"/>
  <c r="U197" i="1" s="1"/>
  <c r="U198" i="1" s="1"/>
  <c r="U199" i="1" s="1"/>
  <c r="U200" i="1" s="1"/>
  <c r="U201" i="1" s="1"/>
  <c r="U202" i="1" s="1"/>
  <c r="U203" i="1" s="1"/>
  <c r="U204" i="1" s="1"/>
  <c r="U205" i="1" s="1"/>
  <c r="U206" i="1" s="1"/>
  <c r="U207" i="1" s="1"/>
  <c r="U208" i="1" s="1"/>
  <c r="U209" i="1" s="1"/>
  <c r="U210" i="1" s="1"/>
  <c r="U211" i="1" s="1"/>
  <c r="U212" i="1" s="1"/>
  <c r="U213" i="1" s="1"/>
  <c r="U214" i="1" s="1"/>
  <c r="U215" i="1" s="1"/>
  <c r="U216" i="1" s="1"/>
  <c r="U217" i="1" s="1"/>
  <c r="U218" i="1" s="1"/>
  <c r="U219" i="1" s="1"/>
  <c r="U220" i="1" s="1"/>
  <c r="U221" i="1" s="1"/>
  <c r="U222" i="1" s="1"/>
  <c r="U223" i="1" s="1"/>
  <c r="U224" i="1" s="1"/>
  <c r="U225" i="1" s="1"/>
  <c r="U226" i="1" s="1"/>
  <c r="U227" i="1" s="1"/>
  <c r="U228" i="1" s="1"/>
  <c r="U229" i="1" s="1"/>
  <c r="U230" i="1" s="1"/>
  <c r="U231" i="1" s="1"/>
  <c r="U232" i="1" s="1"/>
  <c r="U233" i="1" s="1"/>
  <c r="U234" i="1" s="1"/>
  <c r="U235" i="1" s="1"/>
  <c r="U236" i="1" s="1"/>
  <c r="U237" i="1" s="1"/>
  <c r="U238" i="1" s="1"/>
  <c r="U239" i="1" s="1"/>
  <c r="U240" i="1" s="1"/>
  <c r="U241" i="1" s="1"/>
  <c r="U242" i="1" s="1"/>
  <c r="U243" i="1" s="1"/>
  <c r="U244" i="1" s="1"/>
  <c r="U245" i="1" s="1"/>
  <c r="U246" i="1" s="1"/>
  <c r="U247" i="1" s="1"/>
  <c r="U248" i="1" s="1"/>
  <c r="U249" i="1" s="1"/>
  <c r="U250" i="1" s="1"/>
  <c r="U251" i="1" s="1"/>
  <c r="U252" i="1" s="1"/>
  <c r="U253" i="1" s="1"/>
  <c r="U254" i="1" s="1"/>
  <c r="U255" i="1" s="1"/>
  <c r="U256" i="1" s="1"/>
  <c r="U257" i="1" s="1"/>
  <c r="U258" i="1" s="1"/>
  <c r="U259" i="1" s="1"/>
  <c r="U260" i="1" s="1"/>
  <c r="U261" i="1" s="1"/>
  <c r="U262" i="1" s="1"/>
  <c r="U263" i="1" s="1"/>
  <c r="U264" i="1" s="1"/>
  <c r="U265" i="1" s="1"/>
  <c r="U266" i="1" s="1"/>
  <c r="U267" i="1" s="1"/>
  <c r="U268" i="1" s="1"/>
  <c r="U269" i="1" s="1"/>
  <c r="U270" i="1" s="1"/>
  <c r="U271" i="1" s="1"/>
  <c r="U272" i="1" s="1"/>
  <c r="U273" i="1" s="1"/>
  <c r="U274" i="1" s="1"/>
  <c r="U275" i="1" s="1"/>
  <c r="U276" i="1" s="1"/>
  <c r="U277" i="1" s="1"/>
  <c r="U278" i="1" s="1"/>
  <c r="U279" i="1" s="1"/>
  <c r="U280" i="1" s="1"/>
  <c r="U281" i="1" s="1"/>
  <c r="U282" i="1" s="1"/>
  <c r="U283" i="1" s="1"/>
  <c r="U284" i="1" s="1"/>
  <c r="U285" i="1" s="1"/>
  <c r="U286" i="1" s="1"/>
  <c r="U287" i="1" s="1"/>
  <c r="U288" i="1" s="1"/>
  <c r="U289" i="1" s="1"/>
  <c r="U290" i="1" s="1"/>
  <c r="U291" i="1" s="1"/>
  <c r="U292" i="1" s="1"/>
  <c r="U293" i="1" s="1"/>
  <c r="U294" i="1" s="1"/>
  <c r="U295" i="1" s="1"/>
  <c r="U296" i="1" s="1"/>
  <c r="U297" i="1" s="1"/>
  <c r="U298" i="1" s="1"/>
  <c r="U299" i="1" s="1"/>
  <c r="U300" i="1" s="1"/>
  <c r="U301" i="1" s="1"/>
  <c r="P10" i="1"/>
  <c r="W9" i="1"/>
  <c r="V9" i="1"/>
  <c r="AF9" i="1" s="1"/>
  <c r="AG9" i="1" s="1"/>
  <c r="H92" i="1"/>
  <c r="M92" i="1" s="1"/>
  <c r="S94" i="1"/>
  <c r="G17" i="1"/>
  <c r="I17" i="1"/>
  <c r="E18" i="1" s="1"/>
  <c r="D16" i="1"/>
  <c r="X16" i="1" s="1"/>
  <c r="C17" i="1"/>
  <c r="S91" i="1"/>
  <c r="H89" i="1"/>
  <c r="M89" i="1" s="1"/>
  <c r="R43" i="1"/>
  <c r="T43" i="1"/>
  <c r="P44" i="1" s="1"/>
  <c r="AE43" i="1"/>
  <c r="AA43" i="1"/>
  <c r="K52" i="1" l="1"/>
  <c r="N52" i="1" s="1"/>
  <c r="AN53" i="1"/>
  <c r="AL54" i="1"/>
  <c r="T44" i="1"/>
  <c r="P45" i="1" s="1"/>
  <c r="R44" i="1"/>
  <c r="AE44" i="1"/>
  <c r="AA44" i="1"/>
  <c r="H91" i="1"/>
  <c r="M91" i="1" s="1"/>
  <c r="S93" i="1"/>
  <c r="I18" i="1"/>
  <c r="E19" i="1" s="1"/>
  <c r="G18" i="1"/>
  <c r="C18" i="1"/>
  <c r="D17" i="1"/>
  <c r="X17" i="1" s="1"/>
  <c r="H94" i="1"/>
  <c r="M94" i="1" s="1"/>
  <c r="S96" i="1"/>
  <c r="AE10" i="1"/>
  <c r="AA10" i="1"/>
  <c r="T10" i="1"/>
  <c r="R10" i="1"/>
  <c r="K53" i="1" l="1"/>
  <c r="N53" i="1" s="1"/>
  <c r="D18" i="1"/>
  <c r="X18" i="1" s="1"/>
  <c r="C19" i="1"/>
  <c r="S95" i="1"/>
  <c r="H93" i="1"/>
  <c r="M93" i="1" s="1"/>
  <c r="S98" i="1"/>
  <c r="H96" i="1"/>
  <c r="M96" i="1" s="1"/>
  <c r="G19" i="1"/>
  <c r="I19" i="1"/>
  <c r="E20" i="1" s="1"/>
  <c r="AE45" i="1"/>
  <c r="AA45" i="1"/>
  <c r="T45" i="1"/>
  <c r="P46" i="1" s="1"/>
  <c r="R45" i="1"/>
  <c r="AN54" i="1"/>
  <c r="AL55" i="1" s="1"/>
  <c r="P11" i="1"/>
  <c r="V10" i="1"/>
  <c r="AF10" i="1" s="1"/>
  <c r="AG10" i="1" s="1"/>
  <c r="W10" i="1"/>
  <c r="AN55" i="1" l="1"/>
  <c r="AL56" i="1"/>
  <c r="K54" i="1"/>
  <c r="N54" i="1" s="1"/>
  <c r="H95" i="1"/>
  <c r="M95" i="1" s="1"/>
  <c r="S97" i="1"/>
  <c r="AA46" i="1"/>
  <c r="T46" i="1"/>
  <c r="P47" i="1" s="1"/>
  <c r="AE46" i="1"/>
  <c r="R46" i="1"/>
  <c r="C20" i="1"/>
  <c r="D19" i="1"/>
  <c r="R11" i="1"/>
  <c r="AA11" i="1"/>
  <c r="AE11" i="1"/>
  <c r="T11" i="1"/>
  <c r="G20" i="1"/>
  <c r="I20" i="1"/>
  <c r="E21" i="1" s="1"/>
  <c r="S100" i="1"/>
  <c r="H98" i="1"/>
  <c r="M98" i="1" s="1"/>
  <c r="K55" i="1" l="1"/>
  <c r="N55" i="1" s="1"/>
  <c r="G21" i="1"/>
  <c r="I21" i="1"/>
  <c r="E22" i="1" s="1"/>
  <c r="P12" i="1"/>
  <c r="W11" i="1"/>
  <c r="V11" i="1"/>
  <c r="AF11" i="1" s="1"/>
  <c r="AG11" i="1" s="1"/>
  <c r="C21" i="1"/>
  <c r="D20" i="1"/>
  <c r="T47" i="1"/>
  <c r="P48" i="1" s="1"/>
  <c r="R47" i="1"/>
  <c r="AE47" i="1"/>
  <c r="AA47" i="1"/>
  <c r="H97" i="1"/>
  <c r="M97" i="1" s="1"/>
  <c r="S99" i="1"/>
  <c r="AN56" i="1"/>
  <c r="AL57" i="1" s="1"/>
  <c r="H100" i="1"/>
  <c r="M100" i="1" s="1"/>
  <c r="S102" i="1"/>
  <c r="AN57" i="1" l="1"/>
  <c r="AL58" i="1" s="1"/>
  <c r="K56" i="1"/>
  <c r="N56" i="1" s="1"/>
  <c r="AE48" i="1"/>
  <c r="AA48" i="1"/>
  <c r="T48" i="1"/>
  <c r="P49" i="1" s="1"/>
  <c r="R48" i="1"/>
  <c r="C22" i="1"/>
  <c r="D21" i="1"/>
  <c r="S101" i="1"/>
  <c r="H99" i="1"/>
  <c r="M99" i="1" s="1"/>
  <c r="AA12" i="1"/>
  <c r="AE12" i="1"/>
  <c r="T12" i="1"/>
  <c r="R12" i="1"/>
  <c r="G22" i="1"/>
  <c r="I22" i="1"/>
  <c r="E23" i="1" s="1"/>
  <c r="S104" i="1"/>
  <c r="H102" i="1"/>
  <c r="M102" i="1" s="1"/>
  <c r="K57" i="1" l="1"/>
  <c r="N57" i="1"/>
  <c r="AN58" i="1"/>
  <c r="AL59" i="1" s="1"/>
  <c r="P13" i="1"/>
  <c r="W12" i="1"/>
  <c r="V12" i="1"/>
  <c r="AF12" i="1" s="1"/>
  <c r="AG12" i="1" s="1"/>
  <c r="I23" i="1"/>
  <c r="E24" i="1" s="1"/>
  <c r="G23" i="1"/>
  <c r="S103" i="1"/>
  <c r="H101" i="1"/>
  <c r="M101" i="1" s="1"/>
  <c r="D22" i="1"/>
  <c r="C23" i="1"/>
  <c r="AE49" i="1"/>
  <c r="AA49" i="1"/>
  <c r="R49" i="1"/>
  <c r="T49" i="1"/>
  <c r="P50" i="1" s="1"/>
  <c r="S106" i="1"/>
  <c r="H104" i="1"/>
  <c r="M104" i="1" s="1"/>
  <c r="AN59" i="1" l="1"/>
  <c r="AL60" i="1"/>
  <c r="T50" i="1"/>
  <c r="P51" i="1" s="1"/>
  <c r="R50" i="1"/>
  <c r="AE50" i="1"/>
  <c r="AA50" i="1"/>
  <c r="H103" i="1"/>
  <c r="M103" i="1" s="1"/>
  <c r="S105" i="1"/>
  <c r="AA13" i="1"/>
  <c r="R13" i="1"/>
  <c r="T13" i="1"/>
  <c r="AE13" i="1"/>
  <c r="S108" i="1"/>
  <c r="H106" i="1"/>
  <c r="M106" i="1" s="1"/>
  <c r="D23" i="1"/>
  <c r="X23" i="1" s="1"/>
  <c r="C24" i="1"/>
  <c r="G24" i="1"/>
  <c r="I24" i="1"/>
  <c r="E25" i="1" s="1"/>
  <c r="K58" i="1"/>
  <c r="N58" i="1" s="1"/>
  <c r="K59" i="1" l="1"/>
  <c r="N59" i="1" s="1"/>
  <c r="I25" i="1"/>
  <c r="E26" i="1" s="1"/>
  <c r="G25" i="1"/>
  <c r="H108" i="1"/>
  <c r="M108" i="1" s="1"/>
  <c r="S110" i="1"/>
  <c r="H105" i="1"/>
  <c r="M105" i="1" s="1"/>
  <c r="S107" i="1"/>
  <c r="AN60" i="1"/>
  <c r="AL61" i="1" s="1"/>
  <c r="C25" i="1"/>
  <c r="D24" i="1"/>
  <c r="X24" i="1" s="1"/>
  <c r="P14" i="1"/>
  <c r="W13" i="1"/>
  <c r="V13" i="1"/>
  <c r="AF13" i="1" s="1"/>
  <c r="AG13" i="1" s="1"/>
  <c r="AE51" i="1"/>
  <c r="AA51" i="1"/>
  <c r="T51" i="1"/>
  <c r="P52" i="1" s="1"/>
  <c r="R51" i="1"/>
  <c r="AL62" i="1" l="1"/>
  <c r="AN61" i="1"/>
  <c r="N60" i="1"/>
  <c r="K60" i="1"/>
  <c r="AE52" i="1"/>
  <c r="AA52" i="1"/>
  <c r="T52" i="1"/>
  <c r="P53" i="1" s="1"/>
  <c r="R52" i="1"/>
  <c r="AA14" i="1"/>
  <c r="AE14" i="1"/>
  <c r="T14" i="1"/>
  <c r="D25" i="1"/>
  <c r="X25" i="1" s="1"/>
  <c r="C26" i="1"/>
  <c r="S109" i="1"/>
  <c r="H107" i="1"/>
  <c r="M107" i="1" s="1"/>
  <c r="H110" i="1"/>
  <c r="M110" i="1" s="1"/>
  <c r="S112" i="1"/>
  <c r="G26" i="1"/>
  <c r="I26" i="1"/>
  <c r="E27" i="1" s="1"/>
  <c r="I27" i="1" l="1"/>
  <c r="E28" i="1" s="1"/>
  <c r="G27" i="1"/>
  <c r="S114" i="1"/>
  <c r="H112" i="1"/>
  <c r="M112" i="1" s="1"/>
  <c r="S111" i="1"/>
  <c r="H109" i="1"/>
  <c r="M109" i="1" s="1"/>
  <c r="D26" i="1"/>
  <c r="X26" i="1" s="1"/>
  <c r="C27" i="1"/>
  <c r="P15" i="1"/>
  <c r="W14" i="1"/>
  <c r="V14" i="1"/>
  <c r="AF14" i="1" s="1"/>
  <c r="AG14" i="1" s="1"/>
  <c r="T53" i="1"/>
  <c r="P54" i="1" s="1"/>
  <c r="R53" i="1"/>
  <c r="AE53" i="1"/>
  <c r="AA53" i="1"/>
  <c r="K61" i="1"/>
  <c r="N61" i="1" s="1"/>
  <c r="AN62" i="1"/>
  <c r="AL63" i="1" s="1"/>
  <c r="K62" i="1" l="1"/>
  <c r="N62" i="1"/>
  <c r="AN63" i="1"/>
  <c r="AL64" i="1" s="1"/>
  <c r="R54" i="1"/>
  <c r="AA54" i="1"/>
  <c r="T54" i="1"/>
  <c r="P55" i="1" s="1"/>
  <c r="AE54" i="1"/>
  <c r="AE15" i="1"/>
  <c r="AA15" i="1"/>
  <c r="T15" i="1"/>
  <c r="D27" i="1"/>
  <c r="X27" i="1" s="1"/>
  <c r="C28" i="1"/>
  <c r="S113" i="1"/>
  <c r="H111" i="1"/>
  <c r="M111" i="1" s="1"/>
  <c r="S116" i="1"/>
  <c r="H114" i="1"/>
  <c r="M114" i="1" s="1"/>
  <c r="I28" i="1"/>
  <c r="E29" i="1" s="1"/>
  <c r="G28" i="1"/>
  <c r="AN64" i="1" l="1"/>
  <c r="AL65" i="1" s="1"/>
  <c r="AE55" i="1"/>
  <c r="AA55" i="1"/>
  <c r="T55" i="1"/>
  <c r="P56" i="1" s="1"/>
  <c r="R55" i="1"/>
  <c r="I29" i="1"/>
  <c r="E30" i="1" s="1"/>
  <c r="G29" i="1"/>
  <c r="H116" i="1"/>
  <c r="M116" i="1" s="1"/>
  <c r="S118" i="1"/>
  <c r="S115" i="1"/>
  <c r="H113" i="1"/>
  <c r="M113" i="1" s="1"/>
  <c r="D28" i="1"/>
  <c r="X28" i="1" s="1"/>
  <c r="C29" i="1"/>
  <c r="K63" i="1"/>
  <c r="N63" i="1" s="1"/>
  <c r="P16" i="1"/>
  <c r="V15" i="1"/>
  <c r="AF15" i="1" s="1"/>
  <c r="AG15" i="1" s="1"/>
  <c r="W15" i="1"/>
  <c r="K64" i="1" l="1"/>
  <c r="N64" i="1"/>
  <c r="AN65" i="1"/>
  <c r="AL66" i="1"/>
  <c r="C30" i="1"/>
  <c r="D29" i="1"/>
  <c r="X29" i="1" s="1"/>
  <c r="S120" i="1"/>
  <c r="H118" i="1"/>
  <c r="M118" i="1" s="1"/>
  <c r="G30" i="1"/>
  <c r="I30" i="1"/>
  <c r="E31" i="1" s="1"/>
  <c r="AA16" i="1"/>
  <c r="AE16" i="1"/>
  <c r="T16" i="1"/>
  <c r="H115" i="1"/>
  <c r="M115" i="1" s="1"/>
  <c r="S117" i="1"/>
  <c r="AE56" i="1"/>
  <c r="AA56" i="1"/>
  <c r="T56" i="1"/>
  <c r="P57" i="1" s="1"/>
  <c r="D30" i="1" l="1"/>
  <c r="X30" i="1" s="1"/>
  <c r="C31" i="1"/>
  <c r="S122" i="1"/>
  <c r="H120" i="1"/>
  <c r="M120" i="1" s="1"/>
  <c r="AA57" i="1"/>
  <c r="R57" i="1"/>
  <c r="AE57" i="1"/>
  <c r="T57" i="1"/>
  <c r="P58" i="1" s="1"/>
  <c r="H117" i="1"/>
  <c r="M117" i="1" s="1"/>
  <c r="S119" i="1"/>
  <c r="P17" i="1"/>
  <c r="V16" i="1"/>
  <c r="AF16" i="1" s="1"/>
  <c r="AG16" i="1" s="1"/>
  <c r="W16" i="1"/>
  <c r="I31" i="1"/>
  <c r="E32" i="1" s="1"/>
  <c r="G31" i="1"/>
  <c r="AL67" i="1"/>
  <c r="AN66" i="1"/>
  <c r="N65" i="1"/>
  <c r="K65" i="1"/>
  <c r="AN67" i="1" l="1"/>
  <c r="AL68" i="1"/>
  <c r="H119" i="1"/>
  <c r="M119" i="1" s="1"/>
  <c r="S121" i="1"/>
  <c r="T58" i="1"/>
  <c r="P59" i="1" s="1"/>
  <c r="AE58" i="1"/>
  <c r="AA58" i="1"/>
  <c r="C32" i="1"/>
  <c r="D31" i="1"/>
  <c r="X31" i="1" s="1"/>
  <c r="K66" i="1"/>
  <c r="N66" i="1" s="1"/>
  <c r="G32" i="1"/>
  <c r="I32" i="1"/>
  <c r="E33" i="1" s="1"/>
  <c r="AA17" i="1"/>
  <c r="AE17" i="1"/>
  <c r="T17" i="1"/>
  <c r="H122" i="1"/>
  <c r="M122" i="1" s="1"/>
  <c r="S124" i="1"/>
  <c r="K67" i="1" l="1"/>
  <c r="N67" i="1" s="1"/>
  <c r="S126" i="1"/>
  <c r="H124" i="1"/>
  <c r="M124" i="1" s="1"/>
  <c r="P18" i="1"/>
  <c r="V17" i="1"/>
  <c r="AF17" i="1" s="1"/>
  <c r="AG17" i="1" s="1"/>
  <c r="W17" i="1"/>
  <c r="G33" i="1"/>
  <c r="I33" i="1"/>
  <c r="E34" i="1" s="1"/>
  <c r="V32" i="1"/>
  <c r="AF32" i="1" s="1"/>
  <c r="AG32" i="1" s="1"/>
  <c r="C33" i="1"/>
  <c r="D32" i="1"/>
  <c r="X32" i="1" s="1"/>
  <c r="W32" i="1"/>
  <c r="AE59" i="1"/>
  <c r="T59" i="1"/>
  <c r="P60" i="1" s="1"/>
  <c r="R59" i="1"/>
  <c r="AA59" i="1"/>
  <c r="S123" i="1"/>
  <c r="H121" i="1"/>
  <c r="M121" i="1" s="1"/>
  <c r="AN68" i="1"/>
  <c r="AL69" i="1" s="1"/>
  <c r="AN69" i="1" l="1"/>
  <c r="AL70" i="1" s="1"/>
  <c r="K68" i="1"/>
  <c r="N68" i="1"/>
  <c r="D33" i="1"/>
  <c r="W33" i="1"/>
  <c r="V33" i="1"/>
  <c r="AF33" i="1" s="1"/>
  <c r="AG33" i="1" s="1"/>
  <c r="C34" i="1"/>
  <c r="I34" i="1"/>
  <c r="E35" i="1" s="1"/>
  <c r="G34" i="1"/>
  <c r="S125" i="1"/>
  <c r="H123" i="1"/>
  <c r="M123" i="1" s="1"/>
  <c r="AA60" i="1"/>
  <c r="R60" i="1"/>
  <c r="T60" i="1"/>
  <c r="P61" i="1" s="1"/>
  <c r="AE60" i="1"/>
  <c r="AA18" i="1"/>
  <c r="T18" i="1"/>
  <c r="AE18" i="1"/>
  <c r="S128" i="1"/>
  <c r="H126" i="1"/>
  <c r="M126" i="1" s="1"/>
  <c r="AN70" i="1" l="1"/>
  <c r="AL71" i="1"/>
  <c r="I35" i="1"/>
  <c r="E36" i="1" s="1"/>
  <c r="G35" i="1"/>
  <c r="W34" i="1"/>
  <c r="V34" i="1"/>
  <c r="AF34" i="1" s="1"/>
  <c r="AG34" i="1" s="1"/>
  <c r="C35" i="1"/>
  <c r="D34" i="1"/>
  <c r="H125" i="1"/>
  <c r="M125" i="1" s="1"/>
  <c r="S127" i="1"/>
  <c r="K69" i="1"/>
  <c r="N69" i="1"/>
  <c r="T61" i="1"/>
  <c r="P62" i="1" s="1"/>
  <c r="AE61" i="1"/>
  <c r="AA61" i="1"/>
  <c r="R61" i="1"/>
  <c r="H128" i="1"/>
  <c r="M128" i="1" s="1"/>
  <c r="S130" i="1"/>
  <c r="P19" i="1"/>
  <c r="W18" i="1"/>
  <c r="V18" i="1"/>
  <c r="AF18" i="1" s="1"/>
  <c r="AG18" i="1" s="1"/>
  <c r="W35" i="1" l="1"/>
  <c r="V35" i="1"/>
  <c r="AF35" i="1" s="1"/>
  <c r="AG35" i="1" s="1"/>
  <c r="C36" i="1"/>
  <c r="D35" i="1"/>
  <c r="H130" i="1"/>
  <c r="M130" i="1" s="1"/>
  <c r="S132" i="1"/>
  <c r="I36" i="1"/>
  <c r="E37" i="1" s="1"/>
  <c r="G36" i="1"/>
  <c r="AA19" i="1"/>
  <c r="T19" i="1"/>
  <c r="R19" i="1"/>
  <c r="AE19" i="1"/>
  <c r="AE62" i="1"/>
  <c r="T62" i="1"/>
  <c r="P63" i="1" s="1"/>
  <c r="AA62" i="1"/>
  <c r="R62" i="1"/>
  <c r="AN71" i="1"/>
  <c r="AL72" i="1" s="1"/>
  <c r="K70" i="1"/>
  <c r="N70" i="1"/>
  <c r="H127" i="1"/>
  <c r="M127" i="1" s="1"/>
  <c r="S129" i="1"/>
  <c r="AN72" i="1" l="1"/>
  <c r="AL73" i="1"/>
  <c r="K71" i="1"/>
  <c r="N71" i="1"/>
  <c r="H132" i="1"/>
  <c r="M132" i="1" s="1"/>
  <c r="S134" i="1"/>
  <c r="AE63" i="1"/>
  <c r="T63" i="1"/>
  <c r="P64" i="1" s="1"/>
  <c r="R63" i="1"/>
  <c r="AA63" i="1"/>
  <c r="I37" i="1"/>
  <c r="E38" i="1" s="1"/>
  <c r="G37" i="1"/>
  <c r="H129" i="1"/>
  <c r="M129" i="1" s="1"/>
  <c r="S131" i="1"/>
  <c r="P20" i="1"/>
  <c r="W19" i="1"/>
  <c r="V19" i="1"/>
  <c r="AF19" i="1" s="1"/>
  <c r="AG19" i="1" s="1"/>
  <c r="W36" i="1"/>
  <c r="V36" i="1"/>
  <c r="AF36" i="1" s="1"/>
  <c r="AG36" i="1" s="1"/>
  <c r="C37" i="1"/>
  <c r="D36" i="1"/>
  <c r="S133" i="1" l="1"/>
  <c r="H131" i="1"/>
  <c r="M131" i="1" s="1"/>
  <c r="AE64" i="1"/>
  <c r="AA64" i="1"/>
  <c r="T64" i="1"/>
  <c r="P65" i="1" s="1"/>
  <c r="R64" i="1"/>
  <c r="AN73" i="1"/>
  <c r="AL74" i="1"/>
  <c r="D37" i="1"/>
  <c r="W37" i="1"/>
  <c r="V37" i="1"/>
  <c r="AF37" i="1" s="1"/>
  <c r="AG37" i="1" s="1"/>
  <c r="C38" i="1"/>
  <c r="T20" i="1"/>
  <c r="AE20" i="1"/>
  <c r="AA20" i="1"/>
  <c r="R20" i="1"/>
  <c r="I38" i="1"/>
  <c r="E39" i="1" s="1"/>
  <c r="G38" i="1"/>
  <c r="H134" i="1"/>
  <c r="M134" i="1" s="1"/>
  <c r="S136" i="1"/>
  <c r="K72" i="1"/>
  <c r="N72" i="1"/>
  <c r="H136" i="1" l="1"/>
  <c r="M136" i="1" s="1"/>
  <c r="S138" i="1"/>
  <c r="P21" i="1"/>
  <c r="W20" i="1"/>
  <c r="V20" i="1"/>
  <c r="AF20" i="1" s="1"/>
  <c r="AG20" i="1" s="1"/>
  <c r="W38" i="1"/>
  <c r="C39" i="1"/>
  <c r="D38" i="1"/>
  <c r="V38" i="1"/>
  <c r="AF38" i="1" s="1"/>
  <c r="AG38" i="1" s="1"/>
  <c r="I39" i="1"/>
  <c r="E40" i="1" s="1"/>
  <c r="G39" i="1"/>
  <c r="AN74" i="1"/>
  <c r="AL75" i="1" s="1"/>
  <c r="AE65" i="1"/>
  <c r="T65" i="1"/>
  <c r="P66" i="1" s="1"/>
  <c r="AA65" i="1"/>
  <c r="R65" i="1"/>
  <c r="K73" i="1"/>
  <c r="N73" i="1" s="1"/>
  <c r="S135" i="1"/>
  <c r="H133" i="1"/>
  <c r="M133" i="1" s="1"/>
  <c r="K74" i="1" l="1"/>
  <c r="N74" i="1"/>
  <c r="AN75" i="1"/>
  <c r="AL76" i="1" s="1"/>
  <c r="G40" i="1"/>
  <c r="I40" i="1"/>
  <c r="E41" i="1" s="1"/>
  <c r="H135" i="1"/>
  <c r="M135" i="1" s="1"/>
  <c r="S137" i="1"/>
  <c r="AE66" i="1"/>
  <c r="AA66" i="1"/>
  <c r="T66" i="1"/>
  <c r="P67" i="1" s="1"/>
  <c r="T67" i="1" s="1"/>
  <c r="P68" i="1" s="1"/>
  <c r="T68" i="1" s="1"/>
  <c r="P69" i="1" s="1"/>
  <c r="T69" i="1" s="1"/>
  <c r="P70" i="1" s="1"/>
  <c r="T70" i="1" s="1"/>
  <c r="P71" i="1" s="1"/>
  <c r="T71" i="1" s="1"/>
  <c r="P72" i="1" s="1"/>
  <c r="T72" i="1" s="1"/>
  <c r="P73" i="1" s="1"/>
  <c r="T73" i="1" s="1"/>
  <c r="P74" i="1" s="1"/>
  <c r="T74" i="1" s="1"/>
  <c r="P75" i="1" s="1"/>
  <c r="T75" i="1" s="1"/>
  <c r="P76" i="1" s="1"/>
  <c r="T76" i="1" s="1"/>
  <c r="P77" i="1" s="1"/>
  <c r="T77" i="1" s="1"/>
  <c r="P78" i="1" s="1"/>
  <c r="T78" i="1" s="1"/>
  <c r="P79" i="1" s="1"/>
  <c r="T79" i="1" s="1"/>
  <c r="P80" i="1" s="1"/>
  <c r="T80" i="1" s="1"/>
  <c r="P81" i="1" s="1"/>
  <c r="T81" i="1" s="1"/>
  <c r="P82" i="1" s="1"/>
  <c r="T82" i="1" s="1"/>
  <c r="P83" i="1" s="1"/>
  <c r="T83" i="1" s="1"/>
  <c r="P84" i="1" s="1"/>
  <c r="T84" i="1" s="1"/>
  <c r="P85" i="1" s="1"/>
  <c r="T85" i="1" s="1"/>
  <c r="P86" i="1" s="1"/>
  <c r="T86" i="1" s="1"/>
  <c r="P87" i="1" s="1"/>
  <c r="T87" i="1" s="1"/>
  <c r="P88" i="1" s="1"/>
  <c r="T88" i="1" s="1"/>
  <c r="P89" i="1" s="1"/>
  <c r="T89" i="1" s="1"/>
  <c r="P90" i="1" s="1"/>
  <c r="T90" i="1" s="1"/>
  <c r="P91" i="1" s="1"/>
  <c r="T91" i="1" s="1"/>
  <c r="P92" i="1" s="1"/>
  <c r="T92" i="1" s="1"/>
  <c r="P93" i="1" s="1"/>
  <c r="T93" i="1" s="1"/>
  <c r="P94" i="1" s="1"/>
  <c r="T94" i="1" s="1"/>
  <c r="P95" i="1" s="1"/>
  <c r="T95" i="1" s="1"/>
  <c r="P96" i="1" s="1"/>
  <c r="T96" i="1" s="1"/>
  <c r="P97" i="1" s="1"/>
  <c r="T97" i="1" s="1"/>
  <c r="P98" i="1" s="1"/>
  <c r="T98" i="1" s="1"/>
  <c r="P99" i="1" s="1"/>
  <c r="T99" i="1" s="1"/>
  <c r="P100" i="1" s="1"/>
  <c r="T100" i="1" s="1"/>
  <c r="P101" i="1" s="1"/>
  <c r="T101" i="1" s="1"/>
  <c r="P102" i="1" s="1"/>
  <c r="T102" i="1" s="1"/>
  <c r="P103" i="1" s="1"/>
  <c r="T103" i="1" s="1"/>
  <c r="P104" i="1" s="1"/>
  <c r="T104" i="1" s="1"/>
  <c r="P105" i="1" s="1"/>
  <c r="T105" i="1" s="1"/>
  <c r="P106" i="1" s="1"/>
  <c r="T106" i="1" s="1"/>
  <c r="P107" i="1" s="1"/>
  <c r="T107" i="1" s="1"/>
  <c r="P108" i="1" s="1"/>
  <c r="T108" i="1" s="1"/>
  <c r="P109" i="1" s="1"/>
  <c r="T109" i="1" s="1"/>
  <c r="P110" i="1" s="1"/>
  <c r="T110" i="1" s="1"/>
  <c r="P111" i="1" s="1"/>
  <c r="T111" i="1" s="1"/>
  <c r="P112" i="1" s="1"/>
  <c r="T112" i="1" s="1"/>
  <c r="P113" i="1" s="1"/>
  <c r="T113" i="1" s="1"/>
  <c r="P114" i="1" s="1"/>
  <c r="T114" i="1" s="1"/>
  <c r="P115" i="1" s="1"/>
  <c r="T115" i="1" s="1"/>
  <c r="P116" i="1" s="1"/>
  <c r="T116" i="1" s="1"/>
  <c r="P117" i="1" s="1"/>
  <c r="T117" i="1" s="1"/>
  <c r="P118" i="1" s="1"/>
  <c r="T118" i="1" s="1"/>
  <c r="P119" i="1" s="1"/>
  <c r="T119" i="1" s="1"/>
  <c r="P120" i="1" s="1"/>
  <c r="T120" i="1" s="1"/>
  <c r="P121" i="1" s="1"/>
  <c r="T121" i="1" s="1"/>
  <c r="P122" i="1" s="1"/>
  <c r="T122" i="1" s="1"/>
  <c r="P123" i="1" s="1"/>
  <c r="T123" i="1" s="1"/>
  <c r="P124" i="1" s="1"/>
  <c r="T124" i="1" s="1"/>
  <c r="P125" i="1" s="1"/>
  <c r="T125" i="1" s="1"/>
  <c r="P126" i="1" s="1"/>
  <c r="T126" i="1" s="1"/>
  <c r="P127" i="1" s="1"/>
  <c r="T127" i="1" s="1"/>
  <c r="P128" i="1" s="1"/>
  <c r="T128" i="1" s="1"/>
  <c r="P129" i="1" s="1"/>
  <c r="T129" i="1" s="1"/>
  <c r="P130" i="1" s="1"/>
  <c r="T130" i="1" s="1"/>
  <c r="P131" i="1" s="1"/>
  <c r="T131" i="1" s="1"/>
  <c r="P132" i="1" s="1"/>
  <c r="T132" i="1" s="1"/>
  <c r="P133" i="1" s="1"/>
  <c r="T133" i="1" s="1"/>
  <c r="P134" i="1" s="1"/>
  <c r="T134" i="1" s="1"/>
  <c r="P135" i="1" s="1"/>
  <c r="T135" i="1" s="1"/>
  <c r="P136" i="1" s="1"/>
  <c r="T136" i="1" s="1"/>
  <c r="P137" i="1" s="1"/>
  <c r="T137" i="1" s="1"/>
  <c r="P138" i="1" s="1"/>
  <c r="T138" i="1" s="1"/>
  <c r="P139" i="1" s="1"/>
  <c r="C40" i="1"/>
  <c r="D39" i="1"/>
  <c r="W39" i="1"/>
  <c r="V39" i="1"/>
  <c r="AF39" i="1" s="1"/>
  <c r="AG39" i="1" s="1"/>
  <c r="AE21" i="1"/>
  <c r="AA21" i="1"/>
  <c r="T21" i="1"/>
  <c r="R21" i="1"/>
  <c r="H138" i="1"/>
  <c r="M138" i="1" s="1"/>
  <c r="S140" i="1"/>
  <c r="AN76" i="1" l="1"/>
  <c r="AL77" i="1" s="1"/>
  <c r="K75" i="1"/>
  <c r="N75" i="1"/>
  <c r="P22" i="1"/>
  <c r="W21" i="1"/>
  <c r="V21" i="1"/>
  <c r="AF21" i="1" s="1"/>
  <c r="AG21" i="1" s="1"/>
  <c r="D40" i="1"/>
  <c r="C41" i="1"/>
  <c r="W40" i="1"/>
  <c r="V40" i="1"/>
  <c r="AF40" i="1" s="1"/>
  <c r="AG40" i="1" s="1"/>
  <c r="S139" i="1"/>
  <c r="H137" i="1"/>
  <c r="M137" i="1" s="1"/>
  <c r="G41" i="1"/>
  <c r="I41" i="1"/>
  <c r="E42" i="1" s="1"/>
  <c r="H140" i="1"/>
  <c r="M140" i="1" s="1"/>
  <c r="S142" i="1"/>
  <c r="AN77" i="1" l="1"/>
  <c r="AL78" i="1"/>
  <c r="I42" i="1"/>
  <c r="E43" i="1" s="1"/>
  <c r="G42" i="1"/>
  <c r="H139" i="1"/>
  <c r="M139" i="1" s="1"/>
  <c r="S141" i="1"/>
  <c r="S144" i="1"/>
  <c r="H142" i="1"/>
  <c r="M142" i="1" s="1"/>
  <c r="C42" i="1"/>
  <c r="D41" i="1"/>
  <c r="V41" i="1"/>
  <c r="AF41" i="1" s="1"/>
  <c r="AG41" i="1" s="1"/>
  <c r="W41" i="1"/>
  <c r="AE22" i="1"/>
  <c r="AA22" i="1"/>
  <c r="T22" i="1"/>
  <c r="R22" i="1"/>
  <c r="K76" i="1"/>
  <c r="N76" i="1"/>
  <c r="T139" i="1"/>
  <c r="P140" i="1" s="1"/>
  <c r="T140" i="1" s="1"/>
  <c r="P141" i="1" s="1"/>
  <c r="T141" i="1" s="1"/>
  <c r="P142" i="1" s="1"/>
  <c r="T142" i="1" s="1"/>
  <c r="P143" i="1" s="1"/>
  <c r="K77" i="1" l="1"/>
  <c r="N77" i="1" s="1"/>
  <c r="P23" i="1"/>
  <c r="W22" i="1"/>
  <c r="V22" i="1"/>
  <c r="AF22" i="1" s="1"/>
  <c r="AG22" i="1" s="1"/>
  <c r="S143" i="1"/>
  <c r="H141" i="1"/>
  <c r="M141" i="1" s="1"/>
  <c r="T143" i="1"/>
  <c r="P144" i="1" s="1"/>
  <c r="T144" i="1" s="1"/>
  <c r="P145" i="1" s="1"/>
  <c r="C43" i="1"/>
  <c r="D42" i="1"/>
  <c r="W42" i="1"/>
  <c r="V42" i="1"/>
  <c r="AF42" i="1" s="1"/>
  <c r="AG42" i="1" s="1"/>
  <c r="S146" i="1"/>
  <c r="H144" i="1"/>
  <c r="M144" i="1" s="1"/>
  <c r="I43" i="1"/>
  <c r="E44" i="1" s="1"/>
  <c r="G43" i="1"/>
  <c r="AN78" i="1"/>
  <c r="AL79" i="1"/>
  <c r="K78" i="1" l="1"/>
  <c r="N78" i="1" s="1"/>
  <c r="W43" i="1"/>
  <c r="V43" i="1"/>
  <c r="AF43" i="1" s="1"/>
  <c r="AG43" i="1" s="1"/>
  <c r="D43" i="1"/>
  <c r="C44" i="1"/>
  <c r="H143" i="1"/>
  <c r="M143" i="1" s="1"/>
  <c r="S145" i="1"/>
  <c r="AN79" i="1"/>
  <c r="AL80" i="1"/>
  <c r="H146" i="1"/>
  <c r="M146" i="1" s="1"/>
  <c r="S148" i="1"/>
  <c r="T145" i="1"/>
  <c r="P146" i="1" s="1"/>
  <c r="T146" i="1" s="1"/>
  <c r="P147" i="1" s="1"/>
  <c r="I44" i="1"/>
  <c r="E45" i="1" s="1"/>
  <c r="G44" i="1"/>
  <c r="AA23" i="1"/>
  <c r="AE23" i="1"/>
  <c r="T23" i="1"/>
  <c r="K79" i="1" l="1"/>
  <c r="N79" i="1" s="1"/>
  <c r="G45" i="1"/>
  <c r="I45" i="1"/>
  <c r="E46" i="1" s="1"/>
  <c r="H145" i="1"/>
  <c r="M145" i="1" s="1"/>
  <c r="S147" i="1"/>
  <c r="H148" i="1"/>
  <c r="M148" i="1" s="1"/>
  <c r="S150" i="1"/>
  <c r="AN80" i="1"/>
  <c r="AL81" i="1" s="1"/>
  <c r="P24" i="1"/>
  <c r="V23" i="1"/>
  <c r="AF23" i="1" s="1"/>
  <c r="AG23" i="1" s="1"/>
  <c r="W23" i="1"/>
  <c r="T147" i="1"/>
  <c r="P148" i="1" s="1"/>
  <c r="T148" i="1" s="1"/>
  <c r="P149" i="1" s="1"/>
  <c r="C45" i="1"/>
  <c r="W44" i="1"/>
  <c r="V44" i="1"/>
  <c r="AF44" i="1" s="1"/>
  <c r="AG44" i="1" s="1"/>
  <c r="D44" i="1"/>
  <c r="AN81" i="1" l="1"/>
  <c r="AL82" i="1" s="1"/>
  <c r="K80" i="1"/>
  <c r="N80" i="1"/>
  <c r="T24" i="1"/>
  <c r="AE24" i="1"/>
  <c r="AA24" i="1"/>
  <c r="H150" i="1"/>
  <c r="M150" i="1" s="1"/>
  <c r="S152" i="1"/>
  <c r="S149" i="1"/>
  <c r="T149" i="1" s="1"/>
  <c r="P150" i="1" s="1"/>
  <c r="T150" i="1" s="1"/>
  <c r="P151" i="1" s="1"/>
  <c r="H147" i="1"/>
  <c r="M147" i="1" s="1"/>
  <c r="C46" i="1"/>
  <c r="W45" i="1"/>
  <c r="V45" i="1"/>
  <c r="AF45" i="1" s="1"/>
  <c r="AG45" i="1" s="1"/>
  <c r="D45" i="1"/>
  <c r="I46" i="1"/>
  <c r="E47" i="1" s="1"/>
  <c r="G46" i="1"/>
  <c r="AN82" i="1" l="1"/>
  <c r="AL83" i="1"/>
  <c r="P25" i="1"/>
  <c r="W24" i="1"/>
  <c r="V24" i="1"/>
  <c r="AF24" i="1" s="1"/>
  <c r="AG24" i="1" s="1"/>
  <c r="K81" i="1"/>
  <c r="N81" i="1" s="1"/>
  <c r="G47" i="1"/>
  <c r="I47" i="1"/>
  <c r="E48" i="1" s="1"/>
  <c r="V46" i="1"/>
  <c r="AF46" i="1" s="1"/>
  <c r="AG46" i="1" s="1"/>
  <c r="W46" i="1"/>
  <c r="C47" i="1"/>
  <c r="D46" i="1"/>
  <c r="S151" i="1"/>
  <c r="H149" i="1"/>
  <c r="M149" i="1" s="1"/>
  <c r="H152" i="1"/>
  <c r="M152" i="1" s="1"/>
  <c r="S154" i="1"/>
  <c r="K82" i="1" l="1"/>
  <c r="N82" i="1" s="1"/>
  <c r="C48" i="1"/>
  <c r="W47" i="1"/>
  <c r="V47" i="1"/>
  <c r="AF47" i="1" s="1"/>
  <c r="AG47" i="1" s="1"/>
  <c r="D47" i="1"/>
  <c r="I48" i="1"/>
  <c r="E49" i="1" s="1"/>
  <c r="G48" i="1"/>
  <c r="T25" i="1"/>
  <c r="AA25" i="1"/>
  <c r="AE25" i="1"/>
  <c r="H154" i="1"/>
  <c r="M154" i="1" s="1"/>
  <c r="S156" i="1"/>
  <c r="H151" i="1"/>
  <c r="M151" i="1" s="1"/>
  <c r="S153" i="1"/>
  <c r="AN83" i="1"/>
  <c r="AL84" i="1"/>
  <c r="T151" i="1"/>
  <c r="P152" i="1" s="1"/>
  <c r="T152" i="1" s="1"/>
  <c r="P153" i="1" s="1"/>
  <c r="T153" i="1" s="1"/>
  <c r="P154" i="1" s="1"/>
  <c r="T154" i="1" s="1"/>
  <c r="P155" i="1" s="1"/>
  <c r="K83" i="1" l="1"/>
  <c r="N83" i="1"/>
  <c r="AN84" i="1"/>
  <c r="AL85" i="1"/>
  <c r="I49" i="1"/>
  <c r="E50" i="1" s="1"/>
  <c r="G49" i="1"/>
  <c r="S155" i="1"/>
  <c r="T155" i="1" s="1"/>
  <c r="P156" i="1" s="1"/>
  <c r="T156" i="1" s="1"/>
  <c r="P157" i="1" s="1"/>
  <c r="H153" i="1"/>
  <c r="M153" i="1" s="1"/>
  <c r="H156" i="1"/>
  <c r="M156" i="1" s="1"/>
  <c r="S158" i="1"/>
  <c r="P26" i="1"/>
  <c r="W25" i="1"/>
  <c r="V25" i="1"/>
  <c r="AF25" i="1" s="1"/>
  <c r="AG25" i="1" s="1"/>
  <c r="C49" i="1"/>
  <c r="D48" i="1"/>
  <c r="W48" i="1"/>
  <c r="V48" i="1"/>
  <c r="AF48" i="1" s="1"/>
  <c r="AG48" i="1" s="1"/>
  <c r="V49" i="1" l="1"/>
  <c r="AF49" i="1" s="1"/>
  <c r="AG49" i="1" s="1"/>
  <c r="D49" i="1"/>
  <c r="C50" i="1"/>
  <c r="W49" i="1"/>
  <c r="H158" i="1"/>
  <c r="M158" i="1" s="1"/>
  <c r="S160" i="1"/>
  <c r="AE26" i="1"/>
  <c r="AA26" i="1"/>
  <c r="T26" i="1"/>
  <c r="I50" i="1"/>
  <c r="E51" i="1" s="1"/>
  <c r="G50" i="1"/>
  <c r="AN85" i="1"/>
  <c r="AL86" i="1" s="1"/>
  <c r="H155" i="1"/>
  <c r="M155" i="1" s="1"/>
  <c r="S157" i="1"/>
  <c r="K84" i="1"/>
  <c r="N84" i="1" s="1"/>
  <c r="K85" i="1" l="1"/>
  <c r="N85" i="1"/>
  <c r="AN86" i="1"/>
  <c r="AL87" i="1" s="1"/>
  <c r="P27" i="1"/>
  <c r="W26" i="1"/>
  <c r="V26" i="1"/>
  <c r="AF26" i="1" s="1"/>
  <c r="AG26" i="1" s="1"/>
  <c r="H157" i="1"/>
  <c r="M157" i="1" s="1"/>
  <c r="S159" i="1"/>
  <c r="G51" i="1"/>
  <c r="I51" i="1"/>
  <c r="E52" i="1" s="1"/>
  <c r="H160" i="1"/>
  <c r="M160" i="1" s="1"/>
  <c r="S162" i="1"/>
  <c r="V50" i="1"/>
  <c r="AF50" i="1" s="1"/>
  <c r="AG50" i="1" s="1"/>
  <c r="C51" i="1"/>
  <c r="D50" i="1"/>
  <c r="W50" i="1"/>
  <c r="T157" i="1"/>
  <c r="P158" i="1" s="1"/>
  <c r="T158" i="1" s="1"/>
  <c r="P159" i="1" s="1"/>
  <c r="T159" i="1" s="1"/>
  <c r="P160" i="1" s="1"/>
  <c r="T160" i="1" s="1"/>
  <c r="P161" i="1" s="1"/>
  <c r="AN87" i="1" l="1"/>
  <c r="AL88" i="1" s="1"/>
  <c r="C52" i="1"/>
  <c r="W51" i="1"/>
  <c r="V51" i="1"/>
  <c r="AF51" i="1" s="1"/>
  <c r="AG51" i="1" s="1"/>
  <c r="D51" i="1"/>
  <c r="S164" i="1"/>
  <c r="H162" i="1"/>
  <c r="M162" i="1" s="1"/>
  <c r="G52" i="1"/>
  <c r="I52" i="1"/>
  <c r="E53" i="1" s="1"/>
  <c r="S161" i="1"/>
  <c r="H159" i="1"/>
  <c r="M159" i="1" s="1"/>
  <c r="T27" i="1"/>
  <c r="R27" i="1"/>
  <c r="AA27" i="1"/>
  <c r="AE27" i="1"/>
  <c r="K86" i="1"/>
  <c r="N86" i="1"/>
  <c r="AN88" i="1" l="1"/>
  <c r="AL89" i="1"/>
  <c r="S163" i="1"/>
  <c r="H161" i="1"/>
  <c r="M161" i="1" s="1"/>
  <c r="D52" i="1"/>
  <c r="W52" i="1"/>
  <c r="V52" i="1"/>
  <c r="AF52" i="1" s="1"/>
  <c r="AG52" i="1" s="1"/>
  <c r="C53" i="1"/>
  <c r="K87" i="1"/>
  <c r="N87" i="1" s="1"/>
  <c r="P28" i="1"/>
  <c r="V27" i="1"/>
  <c r="AF27" i="1" s="1"/>
  <c r="AG27" i="1" s="1"/>
  <c r="W27" i="1"/>
  <c r="H164" i="1"/>
  <c r="M164" i="1" s="1"/>
  <c r="S166" i="1"/>
  <c r="T161" i="1"/>
  <c r="P162" i="1" s="1"/>
  <c r="T162" i="1" s="1"/>
  <c r="P163" i="1" s="1"/>
  <c r="T163" i="1" s="1"/>
  <c r="P164" i="1" s="1"/>
  <c r="T164" i="1" s="1"/>
  <c r="P165" i="1" s="1"/>
  <c r="G53" i="1"/>
  <c r="I53" i="1"/>
  <c r="E54" i="1" s="1"/>
  <c r="K88" i="1" l="1"/>
  <c r="N88" i="1"/>
  <c r="I54" i="1"/>
  <c r="E55" i="1" s="1"/>
  <c r="G54" i="1"/>
  <c r="T28" i="1"/>
  <c r="AE28" i="1"/>
  <c r="AA28" i="1"/>
  <c r="W53" i="1"/>
  <c r="V53" i="1"/>
  <c r="AF53" i="1" s="1"/>
  <c r="AG53" i="1" s="1"/>
  <c r="D53" i="1"/>
  <c r="C54" i="1"/>
  <c r="S168" i="1"/>
  <c r="H166" i="1"/>
  <c r="M166" i="1" s="1"/>
  <c r="H163" i="1"/>
  <c r="M163" i="1" s="1"/>
  <c r="S165" i="1"/>
  <c r="AN89" i="1"/>
  <c r="AL90" i="1"/>
  <c r="P29" i="1" l="1"/>
  <c r="W28" i="1"/>
  <c r="V28" i="1"/>
  <c r="AF28" i="1" s="1"/>
  <c r="AG28" i="1" s="1"/>
  <c r="G55" i="1"/>
  <c r="I55" i="1"/>
  <c r="E56" i="1" s="1"/>
  <c r="S167" i="1"/>
  <c r="H165" i="1"/>
  <c r="M165" i="1" s="1"/>
  <c r="S170" i="1"/>
  <c r="H168" i="1"/>
  <c r="M168" i="1" s="1"/>
  <c r="C55" i="1"/>
  <c r="W54" i="1"/>
  <c r="V54" i="1"/>
  <c r="AF54" i="1" s="1"/>
  <c r="AG54" i="1" s="1"/>
  <c r="D54" i="1"/>
  <c r="AL91" i="1"/>
  <c r="AN90" i="1"/>
  <c r="T165" i="1"/>
  <c r="P166" i="1" s="1"/>
  <c r="T166" i="1" s="1"/>
  <c r="P167" i="1" s="1"/>
  <c r="T167" i="1" s="1"/>
  <c r="P168" i="1" s="1"/>
  <c r="T168" i="1" s="1"/>
  <c r="P169" i="1" s="1"/>
  <c r="K89" i="1"/>
  <c r="N89" i="1" s="1"/>
  <c r="K90" i="1" l="1"/>
  <c r="N90" i="1"/>
  <c r="C56" i="1"/>
  <c r="W55" i="1"/>
  <c r="V55" i="1"/>
  <c r="AF55" i="1" s="1"/>
  <c r="AG55" i="1" s="1"/>
  <c r="D55" i="1"/>
  <c r="AN91" i="1"/>
  <c r="AL92" i="1" s="1"/>
  <c r="H170" i="1"/>
  <c r="M170" i="1" s="1"/>
  <c r="S172" i="1"/>
  <c r="H167" i="1"/>
  <c r="M167" i="1" s="1"/>
  <c r="S169" i="1"/>
  <c r="I56" i="1"/>
  <c r="E57" i="1" s="1"/>
  <c r="G56" i="1"/>
  <c r="T29" i="1"/>
  <c r="AA29" i="1"/>
  <c r="AE29" i="1"/>
  <c r="AN92" i="1" l="1"/>
  <c r="AL93" i="1"/>
  <c r="AM94" i="1" s="1"/>
  <c r="S171" i="1"/>
  <c r="H169" i="1"/>
  <c r="M169" i="1" s="1"/>
  <c r="S174" i="1"/>
  <c r="H172" i="1"/>
  <c r="M172" i="1" s="1"/>
  <c r="V56" i="1"/>
  <c r="AF56" i="1" s="1"/>
  <c r="AG56" i="1" s="1"/>
  <c r="W56" i="1"/>
  <c r="D56" i="1"/>
  <c r="C57" i="1"/>
  <c r="T169" i="1"/>
  <c r="P170" i="1" s="1"/>
  <c r="T170" i="1" s="1"/>
  <c r="P171" i="1" s="1"/>
  <c r="T171" i="1" s="1"/>
  <c r="P172" i="1" s="1"/>
  <c r="T172" i="1" s="1"/>
  <c r="P173" i="1" s="1"/>
  <c r="P30" i="1"/>
  <c r="W29" i="1"/>
  <c r="V29" i="1"/>
  <c r="AF29" i="1" s="1"/>
  <c r="AG29" i="1" s="1"/>
  <c r="G57" i="1"/>
  <c r="I57" i="1"/>
  <c r="E58" i="1" s="1"/>
  <c r="K91" i="1"/>
  <c r="N91" i="1"/>
  <c r="T30" i="1" l="1"/>
  <c r="AE30" i="1"/>
  <c r="AA30" i="1"/>
  <c r="S176" i="1"/>
  <c r="H174" i="1"/>
  <c r="M174" i="1" s="1"/>
  <c r="K92" i="1"/>
  <c r="N92" i="1" s="1"/>
  <c r="I58" i="1"/>
  <c r="E59" i="1" s="1"/>
  <c r="G58" i="1"/>
  <c r="W57" i="1"/>
  <c r="V57" i="1"/>
  <c r="AF57" i="1" s="1"/>
  <c r="AG57" i="1" s="1"/>
  <c r="D57" i="1"/>
  <c r="C58" i="1"/>
  <c r="H171" i="1"/>
  <c r="M171" i="1" s="1"/>
  <c r="S173" i="1"/>
  <c r="K93" i="1" l="1"/>
  <c r="N93" i="1" s="1"/>
  <c r="H173" i="1"/>
  <c r="M173" i="1" s="1"/>
  <c r="S175" i="1"/>
  <c r="T173" i="1"/>
  <c r="P174" i="1" s="1"/>
  <c r="T174" i="1" s="1"/>
  <c r="P175" i="1" s="1"/>
  <c r="T175" i="1" s="1"/>
  <c r="P176" i="1" s="1"/>
  <c r="T176" i="1" s="1"/>
  <c r="P177" i="1" s="1"/>
  <c r="C59" i="1"/>
  <c r="W58" i="1"/>
  <c r="V58" i="1"/>
  <c r="AF58" i="1" s="1"/>
  <c r="AG58" i="1" s="1"/>
  <c r="D58" i="1"/>
  <c r="I59" i="1"/>
  <c r="E60" i="1" s="1"/>
  <c r="G59" i="1"/>
  <c r="H176" i="1"/>
  <c r="M176" i="1" s="1"/>
  <c r="S178" i="1"/>
  <c r="P31" i="1"/>
  <c r="W30" i="1"/>
  <c r="V30" i="1"/>
  <c r="AF30" i="1" s="1"/>
  <c r="AG30" i="1" s="1"/>
  <c r="K94" i="1" l="1"/>
  <c r="N94" i="1" s="1"/>
  <c r="T31" i="1"/>
  <c r="AE31" i="1"/>
  <c r="AA31" i="1"/>
  <c r="I60" i="1"/>
  <c r="E61" i="1" s="1"/>
  <c r="G60" i="1"/>
  <c r="C60" i="1"/>
  <c r="D59" i="1"/>
  <c r="W59" i="1"/>
  <c r="V59" i="1"/>
  <c r="AF59" i="1" s="1"/>
  <c r="AG59" i="1" s="1"/>
  <c r="H175" i="1"/>
  <c r="M175" i="1" s="1"/>
  <c r="S177" i="1"/>
  <c r="H178" i="1"/>
  <c r="M178" i="1" s="1"/>
  <c r="S180" i="1"/>
  <c r="T177" i="1"/>
  <c r="P178" i="1" s="1"/>
  <c r="T178" i="1" s="1"/>
  <c r="P179" i="1" s="1"/>
  <c r="K95" i="1" l="1"/>
  <c r="N95" i="1" s="1"/>
  <c r="H180" i="1"/>
  <c r="M180" i="1" s="1"/>
  <c r="S182" i="1"/>
  <c r="H177" i="1"/>
  <c r="M177" i="1" s="1"/>
  <c r="S179" i="1"/>
  <c r="V60" i="1"/>
  <c r="AF60" i="1" s="1"/>
  <c r="AG60" i="1" s="1"/>
  <c r="C61" i="1"/>
  <c r="D60" i="1"/>
  <c r="W60" i="1"/>
  <c r="G61" i="1"/>
  <c r="I61" i="1"/>
  <c r="E62" i="1" s="1"/>
  <c r="V31" i="1"/>
  <c r="AF31" i="1" s="1"/>
  <c r="AG31" i="1" s="1"/>
  <c r="W31" i="1"/>
  <c r="K96" i="1" l="1"/>
  <c r="N96" i="1"/>
  <c r="S184" i="1"/>
  <c r="H182" i="1"/>
  <c r="M182" i="1" s="1"/>
  <c r="I62" i="1"/>
  <c r="E63" i="1" s="1"/>
  <c r="G62" i="1"/>
  <c r="C62" i="1"/>
  <c r="D61" i="1"/>
  <c r="W61" i="1"/>
  <c r="V61" i="1"/>
  <c r="AF61" i="1" s="1"/>
  <c r="AG61" i="1" s="1"/>
  <c r="H179" i="1"/>
  <c r="M179" i="1" s="1"/>
  <c r="S181" i="1"/>
  <c r="T179" i="1"/>
  <c r="P180" i="1" s="1"/>
  <c r="T180" i="1" s="1"/>
  <c r="P181" i="1" s="1"/>
  <c r="T181" i="1" s="1"/>
  <c r="P182" i="1" s="1"/>
  <c r="T182" i="1" s="1"/>
  <c r="P183" i="1" s="1"/>
  <c r="S183" i="1" l="1"/>
  <c r="H181" i="1"/>
  <c r="M181" i="1" s="1"/>
  <c r="D62" i="1"/>
  <c r="C63" i="1"/>
  <c r="V62" i="1"/>
  <c r="AF62" i="1" s="1"/>
  <c r="AG62" i="1" s="1"/>
  <c r="W62" i="1"/>
  <c r="I63" i="1"/>
  <c r="E64" i="1" s="1"/>
  <c r="G63" i="1"/>
  <c r="H184" i="1"/>
  <c r="M184" i="1" s="1"/>
  <c r="S186" i="1"/>
  <c r="K97" i="1"/>
  <c r="N97" i="1" s="1"/>
  <c r="K98" i="1" l="1"/>
  <c r="N98" i="1" s="1"/>
  <c r="H186" i="1"/>
  <c r="M186" i="1" s="1"/>
  <c r="S188" i="1"/>
  <c r="I64" i="1"/>
  <c r="E65" i="1" s="1"/>
  <c r="G64" i="1"/>
  <c r="W63" i="1"/>
  <c r="V63" i="1"/>
  <c r="AF63" i="1" s="1"/>
  <c r="AG63" i="1" s="1"/>
  <c r="C64" i="1"/>
  <c r="D63" i="1"/>
  <c r="S185" i="1"/>
  <c r="H183" i="1"/>
  <c r="M183" i="1" s="1"/>
  <c r="T183" i="1"/>
  <c r="P184" i="1" s="1"/>
  <c r="T184" i="1" s="1"/>
  <c r="P185" i="1" s="1"/>
  <c r="T185" i="1" s="1"/>
  <c r="P186" i="1" s="1"/>
  <c r="T186" i="1" s="1"/>
  <c r="P187" i="1" s="1"/>
  <c r="K99" i="1" l="1"/>
  <c r="N99" i="1" s="1"/>
  <c r="H185" i="1"/>
  <c r="M185" i="1" s="1"/>
  <c r="S187" i="1"/>
  <c r="C65" i="1"/>
  <c r="V64" i="1"/>
  <c r="AF64" i="1" s="1"/>
  <c r="AG64" i="1" s="1"/>
  <c r="W64" i="1"/>
  <c r="D64" i="1"/>
  <c r="I65" i="1"/>
  <c r="E66" i="1" s="1"/>
  <c r="G65" i="1"/>
  <c r="S190" i="1"/>
  <c r="H188" i="1"/>
  <c r="M188" i="1" s="1"/>
  <c r="K100" i="1" l="1"/>
  <c r="N100" i="1" s="1"/>
  <c r="H190" i="1"/>
  <c r="M190" i="1" s="1"/>
  <c r="S192" i="1"/>
  <c r="G66" i="1"/>
  <c r="I66" i="1"/>
  <c r="E67" i="1" s="1"/>
  <c r="W65" i="1"/>
  <c r="V65" i="1"/>
  <c r="AF65" i="1" s="1"/>
  <c r="AG65" i="1" s="1"/>
  <c r="C66" i="1"/>
  <c r="D65" i="1"/>
  <c r="S189" i="1"/>
  <c r="H187" i="1"/>
  <c r="M187" i="1" s="1"/>
  <c r="T187" i="1"/>
  <c r="P188" i="1" s="1"/>
  <c r="T188" i="1" s="1"/>
  <c r="P189" i="1" s="1"/>
  <c r="T189" i="1" s="1"/>
  <c r="P190" i="1" s="1"/>
  <c r="T190" i="1" s="1"/>
  <c r="P191" i="1" s="1"/>
  <c r="K101" i="1" l="1"/>
  <c r="N101" i="1" s="1"/>
  <c r="S191" i="1"/>
  <c r="H189" i="1"/>
  <c r="M189" i="1" s="1"/>
  <c r="T191" i="1"/>
  <c r="P192" i="1" s="1"/>
  <c r="T192" i="1" s="1"/>
  <c r="P193" i="1" s="1"/>
  <c r="V66" i="1"/>
  <c r="AF66" i="1" s="1"/>
  <c r="AG66" i="1" s="1"/>
  <c r="W66" i="1"/>
  <c r="D66" i="1"/>
  <c r="C67" i="1"/>
  <c r="I67" i="1"/>
  <c r="E68" i="1" s="1"/>
  <c r="G67" i="1"/>
  <c r="H192" i="1"/>
  <c r="M192" i="1" s="1"/>
  <c r="S194" i="1"/>
  <c r="K102" i="1" l="1"/>
  <c r="N102" i="1" s="1"/>
  <c r="S196" i="1"/>
  <c r="H194" i="1"/>
  <c r="M194" i="1" s="1"/>
  <c r="C68" i="1"/>
  <c r="D67" i="1"/>
  <c r="I68" i="1"/>
  <c r="E69" i="1" s="1"/>
  <c r="G68" i="1"/>
  <c r="S193" i="1"/>
  <c r="H191" i="1"/>
  <c r="M191" i="1" s="1"/>
  <c r="K103" i="1" l="1"/>
  <c r="N103" i="1" s="1"/>
  <c r="H193" i="1"/>
  <c r="M193" i="1" s="1"/>
  <c r="S195" i="1"/>
  <c r="T193" i="1"/>
  <c r="P194" i="1" s="1"/>
  <c r="T194" i="1" s="1"/>
  <c r="P195" i="1" s="1"/>
  <c r="T195" i="1" s="1"/>
  <c r="P196" i="1" s="1"/>
  <c r="T196" i="1" s="1"/>
  <c r="P197" i="1" s="1"/>
  <c r="G69" i="1"/>
  <c r="I69" i="1"/>
  <c r="E70" i="1" s="1"/>
  <c r="C69" i="1"/>
  <c r="D68" i="1"/>
  <c r="H196" i="1"/>
  <c r="M196" i="1" s="1"/>
  <c r="S198" i="1"/>
  <c r="K104" i="1" l="1"/>
  <c r="N104" i="1" s="1"/>
  <c r="H198" i="1"/>
  <c r="M198" i="1" s="1"/>
  <c r="S200" i="1"/>
  <c r="D69" i="1"/>
  <c r="C70" i="1"/>
  <c r="I70" i="1"/>
  <c r="E71" i="1" s="1"/>
  <c r="G70" i="1"/>
  <c r="H195" i="1"/>
  <c r="M195" i="1" s="1"/>
  <c r="S197" i="1"/>
  <c r="K105" i="1" l="1"/>
  <c r="N105" i="1" s="1"/>
  <c r="C71" i="1"/>
  <c r="D70" i="1"/>
  <c r="H200" i="1"/>
  <c r="M200" i="1" s="1"/>
  <c r="S202" i="1"/>
  <c r="S199" i="1"/>
  <c r="H197" i="1"/>
  <c r="M197" i="1" s="1"/>
  <c r="I71" i="1"/>
  <c r="E72" i="1" s="1"/>
  <c r="G71" i="1"/>
  <c r="T197" i="1"/>
  <c r="P198" i="1" s="1"/>
  <c r="T198" i="1" s="1"/>
  <c r="P199" i="1" s="1"/>
  <c r="T199" i="1" s="1"/>
  <c r="P200" i="1" s="1"/>
  <c r="T200" i="1" s="1"/>
  <c r="P201" i="1" s="1"/>
  <c r="K106" i="1" l="1"/>
  <c r="N106" i="1" s="1"/>
  <c r="S201" i="1"/>
  <c r="H199" i="1"/>
  <c r="M199" i="1" s="1"/>
  <c r="H202" i="1"/>
  <c r="M202" i="1" s="1"/>
  <c r="S204" i="1"/>
  <c r="C72" i="1"/>
  <c r="D71" i="1"/>
  <c r="T201" i="1"/>
  <c r="P202" i="1" s="1"/>
  <c r="T202" i="1" s="1"/>
  <c r="P203" i="1" s="1"/>
  <c r="I72" i="1"/>
  <c r="E73" i="1" s="1"/>
  <c r="G72" i="1"/>
  <c r="K107" i="1" l="1"/>
  <c r="N107" i="1" s="1"/>
  <c r="I73" i="1"/>
  <c r="E74" i="1" s="1"/>
  <c r="G73" i="1"/>
  <c r="D72" i="1"/>
  <c r="C73" i="1"/>
  <c r="H204" i="1"/>
  <c r="M204" i="1" s="1"/>
  <c r="S206" i="1"/>
  <c r="S203" i="1"/>
  <c r="H201" i="1"/>
  <c r="M201" i="1" s="1"/>
  <c r="K108" i="1" l="1"/>
  <c r="N108" i="1" s="1"/>
  <c r="G74" i="1"/>
  <c r="I74" i="1"/>
  <c r="E75" i="1" s="1"/>
  <c r="S205" i="1"/>
  <c r="H203" i="1"/>
  <c r="M203" i="1" s="1"/>
  <c r="S208" i="1"/>
  <c r="H206" i="1"/>
  <c r="M206" i="1" s="1"/>
  <c r="D73" i="1"/>
  <c r="C74" i="1"/>
  <c r="T203" i="1"/>
  <c r="P204" i="1" s="1"/>
  <c r="T204" i="1" s="1"/>
  <c r="P205" i="1" s="1"/>
  <c r="T205" i="1" s="1"/>
  <c r="P206" i="1" s="1"/>
  <c r="T206" i="1" s="1"/>
  <c r="P207" i="1" s="1"/>
  <c r="K109" i="1" l="1"/>
  <c r="N109" i="1" s="1"/>
  <c r="D74" i="1"/>
  <c r="C75" i="1"/>
  <c r="S207" i="1"/>
  <c r="H205" i="1"/>
  <c r="M205" i="1" s="1"/>
  <c r="S210" i="1"/>
  <c r="H208" i="1"/>
  <c r="M208" i="1" s="1"/>
  <c r="I75" i="1"/>
  <c r="E76" i="1" s="1"/>
  <c r="G75" i="1"/>
  <c r="K110" i="1" l="1"/>
  <c r="N110" i="1" s="1"/>
  <c r="H210" i="1"/>
  <c r="M210" i="1" s="1"/>
  <c r="S212" i="1"/>
  <c r="H207" i="1"/>
  <c r="M207" i="1" s="1"/>
  <c r="S209" i="1"/>
  <c r="D75" i="1"/>
  <c r="C76" i="1"/>
  <c r="I76" i="1"/>
  <c r="E77" i="1" s="1"/>
  <c r="G76" i="1"/>
  <c r="T207" i="1"/>
  <c r="P208" i="1" s="1"/>
  <c r="T208" i="1" s="1"/>
  <c r="P209" i="1" s="1"/>
  <c r="T209" i="1" s="1"/>
  <c r="P210" i="1" s="1"/>
  <c r="T210" i="1" s="1"/>
  <c r="P211" i="1" s="1"/>
  <c r="K111" i="1" l="1"/>
  <c r="N111" i="1"/>
  <c r="C77" i="1"/>
  <c r="D76" i="1"/>
  <c r="I77" i="1"/>
  <c r="E78" i="1" s="1"/>
  <c r="G77" i="1"/>
  <c r="S211" i="1"/>
  <c r="H209" i="1"/>
  <c r="M209" i="1" s="1"/>
  <c r="H212" i="1"/>
  <c r="M212" i="1" s="1"/>
  <c r="S214" i="1"/>
  <c r="H214" i="1" l="1"/>
  <c r="M214" i="1" s="1"/>
  <c r="S216" i="1"/>
  <c r="H211" i="1"/>
  <c r="M211" i="1" s="1"/>
  <c r="S213" i="1"/>
  <c r="I78" i="1"/>
  <c r="E79" i="1" s="1"/>
  <c r="G78" i="1"/>
  <c r="T211" i="1"/>
  <c r="P212" i="1" s="1"/>
  <c r="T212" i="1" s="1"/>
  <c r="P213" i="1" s="1"/>
  <c r="T213" i="1" s="1"/>
  <c r="P214" i="1" s="1"/>
  <c r="T214" i="1" s="1"/>
  <c r="P215" i="1" s="1"/>
  <c r="K112" i="1"/>
  <c r="N112" i="1" s="1"/>
  <c r="D77" i="1"/>
  <c r="C78" i="1"/>
  <c r="K113" i="1" l="1"/>
  <c r="N113" i="1" s="1"/>
  <c r="D78" i="1"/>
  <c r="C79" i="1"/>
  <c r="G79" i="1"/>
  <c r="I79" i="1"/>
  <c r="E80" i="1" s="1"/>
  <c r="S215" i="1"/>
  <c r="T215" i="1" s="1"/>
  <c r="P216" i="1" s="1"/>
  <c r="T216" i="1" s="1"/>
  <c r="P217" i="1" s="1"/>
  <c r="H213" i="1"/>
  <c r="M213" i="1" s="1"/>
  <c r="H216" i="1"/>
  <c r="M216" i="1" s="1"/>
  <c r="S218" i="1"/>
  <c r="K114" i="1" l="1"/>
  <c r="N114" i="1"/>
  <c r="I80" i="1"/>
  <c r="E81" i="1" s="1"/>
  <c r="G80" i="1"/>
  <c r="H218" i="1"/>
  <c r="M218" i="1" s="1"/>
  <c r="S220" i="1"/>
  <c r="H215" i="1"/>
  <c r="M215" i="1" s="1"/>
  <c r="S217" i="1"/>
  <c r="D79" i="1"/>
  <c r="C80" i="1"/>
  <c r="D80" i="1" l="1"/>
  <c r="C81" i="1"/>
  <c r="I81" i="1"/>
  <c r="E82" i="1" s="1"/>
  <c r="G81" i="1"/>
  <c r="S219" i="1"/>
  <c r="H217" i="1"/>
  <c r="M217" i="1" s="1"/>
  <c r="H220" i="1"/>
  <c r="M220" i="1" s="1"/>
  <c r="S222" i="1"/>
  <c r="T217" i="1"/>
  <c r="P218" i="1" s="1"/>
  <c r="T218" i="1" s="1"/>
  <c r="P219" i="1" s="1"/>
  <c r="T219" i="1" s="1"/>
  <c r="P220" i="1" s="1"/>
  <c r="T220" i="1" s="1"/>
  <c r="P221" i="1" s="1"/>
  <c r="K115" i="1"/>
  <c r="N115" i="1" s="1"/>
  <c r="K116" i="1" l="1"/>
  <c r="N116" i="1" s="1"/>
  <c r="S224" i="1"/>
  <c r="H222" i="1"/>
  <c r="M222" i="1" s="1"/>
  <c r="S221" i="1"/>
  <c r="H219" i="1"/>
  <c r="M219" i="1" s="1"/>
  <c r="I82" i="1"/>
  <c r="E83" i="1" s="1"/>
  <c r="G82" i="1"/>
  <c r="C82" i="1"/>
  <c r="D81" i="1"/>
  <c r="K117" i="1" l="1"/>
  <c r="N117" i="1" s="1"/>
  <c r="S223" i="1"/>
  <c r="H221" i="1"/>
  <c r="M221" i="1" s="1"/>
  <c r="C83" i="1"/>
  <c r="D82" i="1"/>
  <c r="I83" i="1"/>
  <c r="E84" i="1" s="1"/>
  <c r="G83" i="1"/>
  <c r="S226" i="1"/>
  <c r="H224" i="1"/>
  <c r="M224" i="1" s="1"/>
  <c r="T221" i="1"/>
  <c r="P222" i="1" s="1"/>
  <c r="T222" i="1" s="1"/>
  <c r="P223" i="1" s="1"/>
  <c r="T223" i="1" s="1"/>
  <c r="P224" i="1" s="1"/>
  <c r="T224" i="1" s="1"/>
  <c r="P225" i="1" s="1"/>
  <c r="K118" i="1" l="1"/>
  <c r="N118" i="1" s="1"/>
  <c r="H226" i="1"/>
  <c r="M226" i="1" s="1"/>
  <c r="S228" i="1"/>
  <c r="G84" i="1"/>
  <c r="I84" i="1"/>
  <c r="E85" i="1" s="1"/>
  <c r="D83" i="1"/>
  <c r="C84" i="1"/>
  <c r="S225" i="1"/>
  <c r="H223" i="1"/>
  <c r="M223" i="1" s="1"/>
  <c r="K119" i="1" l="1"/>
  <c r="N119" i="1" s="1"/>
  <c r="S227" i="1"/>
  <c r="H225" i="1"/>
  <c r="M225" i="1" s="1"/>
  <c r="D84" i="1"/>
  <c r="C85" i="1"/>
  <c r="I85" i="1"/>
  <c r="E86" i="1" s="1"/>
  <c r="G85" i="1"/>
  <c r="H228" i="1"/>
  <c r="M228" i="1" s="1"/>
  <c r="S230" i="1"/>
  <c r="T225" i="1"/>
  <c r="P226" i="1" s="1"/>
  <c r="T226" i="1" s="1"/>
  <c r="P227" i="1" s="1"/>
  <c r="T227" i="1" s="1"/>
  <c r="P228" i="1" s="1"/>
  <c r="T228" i="1" s="1"/>
  <c r="P229" i="1" s="1"/>
  <c r="K120" i="1" l="1"/>
  <c r="N120" i="1" s="1"/>
  <c r="H230" i="1"/>
  <c r="M230" i="1" s="1"/>
  <c r="S232" i="1"/>
  <c r="I86" i="1"/>
  <c r="E87" i="1" s="1"/>
  <c r="G86" i="1"/>
  <c r="D85" i="1"/>
  <c r="C86" i="1"/>
  <c r="H227" i="1"/>
  <c r="M227" i="1" s="1"/>
  <c r="S229" i="1"/>
  <c r="K121" i="1" l="1"/>
  <c r="N121" i="1" s="1"/>
  <c r="D86" i="1"/>
  <c r="C87" i="1"/>
  <c r="S231" i="1"/>
  <c r="H229" i="1"/>
  <c r="M229" i="1" s="1"/>
  <c r="I87" i="1"/>
  <c r="E88" i="1" s="1"/>
  <c r="G87" i="1"/>
  <c r="S234" i="1"/>
  <c r="H232" i="1"/>
  <c r="M232" i="1" s="1"/>
  <c r="T229" i="1"/>
  <c r="P230" i="1" s="1"/>
  <c r="T230" i="1" s="1"/>
  <c r="P231" i="1" s="1"/>
  <c r="T231" i="1" s="1"/>
  <c r="P232" i="1" s="1"/>
  <c r="T232" i="1" s="1"/>
  <c r="P233" i="1" s="1"/>
  <c r="K122" i="1" l="1"/>
  <c r="N122" i="1"/>
  <c r="S233" i="1"/>
  <c r="H231" i="1"/>
  <c r="M231" i="1" s="1"/>
  <c r="H234" i="1"/>
  <c r="M234" i="1" s="1"/>
  <c r="S236" i="1"/>
  <c r="I88" i="1"/>
  <c r="E89" i="1" s="1"/>
  <c r="G88" i="1"/>
  <c r="C88" i="1"/>
  <c r="D87" i="1"/>
  <c r="D88" i="1" l="1"/>
  <c r="C89" i="1"/>
  <c r="G89" i="1"/>
  <c r="I89" i="1"/>
  <c r="E90" i="1" s="1"/>
  <c r="H236" i="1"/>
  <c r="M236" i="1" s="1"/>
  <c r="S238" i="1"/>
  <c r="S235" i="1"/>
  <c r="H233" i="1"/>
  <c r="M233" i="1" s="1"/>
  <c r="T233" i="1"/>
  <c r="P234" i="1" s="1"/>
  <c r="T234" i="1" s="1"/>
  <c r="P235" i="1" s="1"/>
  <c r="T235" i="1" s="1"/>
  <c r="P236" i="1" s="1"/>
  <c r="T236" i="1" s="1"/>
  <c r="P237" i="1" s="1"/>
  <c r="K123" i="1"/>
  <c r="N123" i="1" s="1"/>
  <c r="K124" i="1" l="1"/>
  <c r="N124" i="1" s="1"/>
  <c r="H238" i="1"/>
  <c r="M238" i="1" s="1"/>
  <c r="S240" i="1"/>
  <c r="S237" i="1"/>
  <c r="H235" i="1"/>
  <c r="M235" i="1" s="1"/>
  <c r="I90" i="1"/>
  <c r="E91" i="1" s="1"/>
  <c r="G90" i="1"/>
  <c r="D89" i="1"/>
  <c r="C90" i="1"/>
  <c r="K125" i="1" l="1"/>
  <c r="N125" i="1" s="1"/>
  <c r="D90" i="1"/>
  <c r="C91" i="1"/>
  <c r="S239" i="1"/>
  <c r="H237" i="1"/>
  <c r="M237" i="1" s="1"/>
  <c r="I91" i="1"/>
  <c r="E92" i="1" s="1"/>
  <c r="G91" i="1"/>
  <c r="T237" i="1"/>
  <c r="P238" i="1" s="1"/>
  <c r="T238" i="1" s="1"/>
  <c r="P239" i="1" s="1"/>
  <c r="T239" i="1" s="1"/>
  <c r="P240" i="1" s="1"/>
  <c r="T240" i="1" s="1"/>
  <c r="P241" i="1" s="1"/>
  <c r="H240" i="1"/>
  <c r="M240" i="1" s="1"/>
  <c r="S242" i="1"/>
  <c r="K126" i="1" l="1"/>
  <c r="N126" i="1" s="1"/>
  <c r="C92" i="1"/>
  <c r="D91" i="1"/>
  <c r="S244" i="1"/>
  <c r="H242" i="1"/>
  <c r="M242" i="1" s="1"/>
  <c r="I92" i="1"/>
  <c r="E93" i="1" s="1"/>
  <c r="G92" i="1"/>
  <c r="S241" i="1"/>
  <c r="H239" i="1"/>
  <c r="M239" i="1" s="1"/>
  <c r="K127" i="1" l="1"/>
  <c r="N127" i="1" s="1"/>
  <c r="H244" i="1"/>
  <c r="M244" i="1" s="1"/>
  <c r="S246" i="1"/>
  <c r="H241" i="1"/>
  <c r="M241" i="1" s="1"/>
  <c r="S243" i="1"/>
  <c r="I93" i="1"/>
  <c r="E94" i="1" s="1"/>
  <c r="G93" i="1"/>
  <c r="D92" i="1"/>
  <c r="C93" i="1"/>
  <c r="T241" i="1"/>
  <c r="P242" i="1" s="1"/>
  <c r="T242" i="1" s="1"/>
  <c r="P243" i="1" s="1"/>
  <c r="T243" i="1" s="1"/>
  <c r="P244" i="1" s="1"/>
  <c r="T244" i="1" s="1"/>
  <c r="P245" i="1" s="1"/>
  <c r="K128" i="1" l="1"/>
  <c r="N128" i="1" s="1"/>
  <c r="C94" i="1"/>
  <c r="D93" i="1"/>
  <c r="G94" i="1"/>
  <c r="I94" i="1"/>
  <c r="E95" i="1" s="1"/>
  <c r="H243" i="1"/>
  <c r="M243" i="1" s="1"/>
  <c r="S245" i="1"/>
  <c r="T245" i="1" s="1"/>
  <c r="P246" i="1" s="1"/>
  <c r="T246" i="1" s="1"/>
  <c r="P247" i="1" s="1"/>
  <c r="H246" i="1"/>
  <c r="M246" i="1" s="1"/>
  <c r="S248" i="1"/>
  <c r="K129" i="1" l="1"/>
  <c r="N129" i="1" s="1"/>
  <c r="S250" i="1"/>
  <c r="H248" i="1"/>
  <c r="M248" i="1" s="1"/>
  <c r="S247" i="1"/>
  <c r="H245" i="1"/>
  <c r="M245" i="1" s="1"/>
  <c r="I95" i="1"/>
  <c r="E96" i="1" s="1"/>
  <c r="G95" i="1"/>
  <c r="C95" i="1"/>
  <c r="D94" i="1"/>
  <c r="K130" i="1" l="1"/>
  <c r="N130" i="1" s="1"/>
  <c r="D95" i="1"/>
  <c r="C96" i="1"/>
  <c r="S249" i="1"/>
  <c r="H247" i="1"/>
  <c r="M247" i="1" s="1"/>
  <c r="G96" i="1"/>
  <c r="I96" i="1"/>
  <c r="E97" i="1" s="1"/>
  <c r="H250" i="1"/>
  <c r="M250" i="1" s="1"/>
  <c r="S252" i="1"/>
  <c r="T247" i="1"/>
  <c r="P248" i="1" s="1"/>
  <c r="T248" i="1" s="1"/>
  <c r="P249" i="1" s="1"/>
  <c r="T249" i="1" s="1"/>
  <c r="P250" i="1" s="1"/>
  <c r="T250" i="1" s="1"/>
  <c r="P251" i="1" s="1"/>
  <c r="K131" i="1" l="1"/>
  <c r="N131" i="1" s="1"/>
  <c r="S254" i="1"/>
  <c r="H252" i="1"/>
  <c r="M252" i="1" s="1"/>
  <c r="G97" i="1"/>
  <c r="I97" i="1"/>
  <c r="E98" i="1" s="1"/>
  <c r="C97" i="1"/>
  <c r="D96" i="1"/>
  <c r="S251" i="1"/>
  <c r="H249" i="1"/>
  <c r="M249" i="1" s="1"/>
  <c r="K132" i="1" l="1"/>
  <c r="N132" i="1"/>
  <c r="I98" i="1"/>
  <c r="E99" i="1" s="1"/>
  <c r="G98" i="1"/>
  <c r="H251" i="1"/>
  <c r="M251" i="1" s="1"/>
  <c r="S253" i="1"/>
  <c r="D97" i="1"/>
  <c r="C98" i="1"/>
  <c r="H254" i="1"/>
  <c r="M254" i="1" s="1"/>
  <c r="S256" i="1"/>
  <c r="T251" i="1"/>
  <c r="P252" i="1" s="1"/>
  <c r="T252" i="1" s="1"/>
  <c r="P253" i="1" s="1"/>
  <c r="T253" i="1" s="1"/>
  <c r="P254" i="1" s="1"/>
  <c r="T254" i="1" s="1"/>
  <c r="P255" i="1" s="1"/>
  <c r="H256" i="1" l="1"/>
  <c r="M256" i="1" s="1"/>
  <c r="S258" i="1"/>
  <c r="C99" i="1"/>
  <c r="D98" i="1"/>
  <c r="S255" i="1"/>
  <c r="H253" i="1"/>
  <c r="M253" i="1" s="1"/>
  <c r="I99" i="1"/>
  <c r="E100" i="1" s="1"/>
  <c r="G99" i="1"/>
  <c r="K133" i="1"/>
  <c r="N133" i="1" s="1"/>
  <c r="K134" i="1" l="1"/>
  <c r="N134" i="1"/>
  <c r="S257" i="1"/>
  <c r="H255" i="1"/>
  <c r="M255" i="1" s="1"/>
  <c r="T255" i="1"/>
  <c r="P256" i="1" s="1"/>
  <c r="T256" i="1" s="1"/>
  <c r="P257" i="1" s="1"/>
  <c r="T257" i="1" s="1"/>
  <c r="P258" i="1" s="1"/>
  <c r="T258" i="1" s="1"/>
  <c r="P259" i="1" s="1"/>
  <c r="S260" i="1"/>
  <c r="H258" i="1"/>
  <c r="M258" i="1" s="1"/>
  <c r="I100" i="1"/>
  <c r="E101" i="1" s="1"/>
  <c r="G100" i="1"/>
  <c r="D99" i="1"/>
  <c r="C100" i="1"/>
  <c r="D100" i="1" l="1"/>
  <c r="C101" i="1"/>
  <c r="I101" i="1"/>
  <c r="E102" i="1" s="1"/>
  <c r="G101" i="1"/>
  <c r="H260" i="1"/>
  <c r="M260" i="1" s="1"/>
  <c r="S262" i="1"/>
  <c r="S259" i="1"/>
  <c r="H257" i="1"/>
  <c r="M257" i="1" s="1"/>
  <c r="K135" i="1"/>
  <c r="N135" i="1"/>
  <c r="K136" i="1" l="1"/>
  <c r="N136" i="1"/>
  <c r="S261" i="1"/>
  <c r="H259" i="1"/>
  <c r="M259" i="1" s="1"/>
  <c r="S264" i="1"/>
  <c r="H262" i="1"/>
  <c r="M262" i="1" s="1"/>
  <c r="I102" i="1"/>
  <c r="E103" i="1" s="1"/>
  <c r="G102" i="1"/>
  <c r="C102" i="1"/>
  <c r="D101" i="1"/>
  <c r="T259" i="1"/>
  <c r="P260" i="1" s="1"/>
  <c r="T260" i="1" s="1"/>
  <c r="P261" i="1" s="1"/>
  <c r="T261" i="1" s="1"/>
  <c r="P262" i="1" s="1"/>
  <c r="T262" i="1" s="1"/>
  <c r="P263" i="1" s="1"/>
  <c r="I103" i="1" l="1"/>
  <c r="E104" i="1" s="1"/>
  <c r="G103" i="1"/>
  <c r="K137" i="1"/>
  <c r="N137" i="1"/>
  <c r="D102" i="1"/>
  <c r="C103" i="1"/>
  <c r="H264" i="1"/>
  <c r="M264" i="1" s="1"/>
  <c r="S266" i="1"/>
  <c r="H261" i="1"/>
  <c r="M261" i="1" s="1"/>
  <c r="S263" i="1"/>
  <c r="D103" i="1" l="1"/>
  <c r="C104" i="1"/>
  <c r="H263" i="1"/>
  <c r="M263" i="1" s="1"/>
  <c r="S265" i="1"/>
  <c r="H266" i="1"/>
  <c r="M266" i="1" s="1"/>
  <c r="S268" i="1"/>
  <c r="T263" i="1"/>
  <c r="P264" i="1" s="1"/>
  <c r="T264" i="1" s="1"/>
  <c r="P265" i="1" s="1"/>
  <c r="T265" i="1" s="1"/>
  <c r="P266" i="1" s="1"/>
  <c r="T266" i="1" s="1"/>
  <c r="P267" i="1" s="1"/>
  <c r="K138" i="1"/>
  <c r="N138" i="1"/>
  <c r="G104" i="1"/>
  <c r="I104" i="1"/>
  <c r="E105" i="1" s="1"/>
  <c r="G105" i="1" l="1"/>
  <c r="I105" i="1"/>
  <c r="E106" i="1" s="1"/>
  <c r="C105" i="1"/>
  <c r="D104" i="1"/>
  <c r="K139" i="1"/>
  <c r="N139" i="1"/>
  <c r="S270" i="1"/>
  <c r="H268" i="1"/>
  <c r="M268" i="1" s="1"/>
  <c r="S267" i="1"/>
  <c r="H265" i="1"/>
  <c r="M265" i="1" s="1"/>
  <c r="S269" i="1" l="1"/>
  <c r="H267" i="1"/>
  <c r="M267" i="1" s="1"/>
  <c r="K140" i="1"/>
  <c r="N140" i="1" s="1"/>
  <c r="D105" i="1"/>
  <c r="C106" i="1"/>
  <c r="H270" i="1"/>
  <c r="M270" i="1" s="1"/>
  <c r="S272" i="1"/>
  <c r="T267" i="1"/>
  <c r="P268" i="1" s="1"/>
  <c r="T268" i="1" s="1"/>
  <c r="P269" i="1" s="1"/>
  <c r="T269" i="1" s="1"/>
  <c r="P270" i="1" s="1"/>
  <c r="T270" i="1" s="1"/>
  <c r="P271" i="1" s="1"/>
  <c r="I106" i="1"/>
  <c r="E107" i="1" s="1"/>
  <c r="G106" i="1"/>
  <c r="K141" i="1" l="1"/>
  <c r="N141" i="1"/>
  <c r="I107" i="1"/>
  <c r="E108" i="1" s="1"/>
  <c r="G107" i="1"/>
  <c r="S274" i="1"/>
  <c r="H272" i="1"/>
  <c r="M272" i="1" s="1"/>
  <c r="C107" i="1"/>
  <c r="D106" i="1"/>
  <c r="S271" i="1"/>
  <c r="H269" i="1"/>
  <c r="M269" i="1" s="1"/>
  <c r="H271" i="1" l="1"/>
  <c r="M271" i="1" s="1"/>
  <c r="S273" i="1"/>
  <c r="D107" i="1"/>
  <c r="C108" i="1"/>
  <c r="H274" i="1"/>
  <c r="M274" i="1" s="1"/>
  <c r="S276" i="1"/>
  <c r="T271" i="1"/>
  <c r="P272" i="1" s="1"/>
  <c r="T272" i="1" s="1"/>
  <c r="P273" i="1" s="1"/>
  <c r="T273" i="1" s="1"/>
  <c r="P274" i="1" s="1"/>
  <c r="T274" i="1" s="1"/>
  <c r="P275" i="1" s="1"/>
  <c r="I108" i="1"/>
  <c r="E109" i="1" s="1"/>
  <c r="G108" i="1"/>
  <c r="N142" i="1"/>
  <c r="K142" i="1"/>
  <c r="K143" i="1" l="1"/>
  <c r="N143" i="1" s="1"/>
  <c r="C109" i="1"/>
  <c r="D108" i="1"/>
  <c r="I109" i="1"/>
  <c r="E110" i="1" s="1"/>
  <c r="G109" i="1"/>
  <c r="H276" i="1"/>
  <c r="M276" i="1" s="1"/>
  <c r="S278" i="1"/>
  <c r="H273" i="1"/>
  <c r="M273" i="1" s="1"/>
  <c r="S275" i="1"/>
  <c r="K144" i="1" l="1"/>
  <c r="N144" i="1" s="1"/>
  <c r="H278" i="1"/>
  <c r="M278" i="1" s="1"/>
  <c r="S280" i="1"/>
  <c r="I110" i="1"/>
  <c r="E111" i="1" s="1"/>
  <c r="G110" i="1"/>
  <c r="S277" i="1"/>
  <c r="H275" i="1"/>
  <c r="M275" i="1" s="1"/>
  <c r="C110" i="1"/>
  <c r="D109" i="1"/>
  <c r="T275" i="1"/>
  <c r="P276" i="1" s="1"/>
  <c r="T276" i="1" s="1"/>
  <c r="P277" i="1" s="1"/>
  <c r="T277" i="1" s="1"/>
  <c r="P278" i="1" s="1"/>
  <c r="T278" i="1" s="1"/>
  <c r="P279" i="1" s="1"/>
  <c r="K145" i="1" l="1"/>
  <c r="N145" i="1" s="1"/>
  <c r="I111" i="1"/>
  <c r="E112" i="1" s="1"/>
  <c r="G111" i="1"/>
  <c r="D110" i="1"/>
  <c r="C111" i="1"/>
  <c r="S279" i="1"/>
  <c r="H277" i="1"/>
  <c r="M277" i="1" s="1"/>
  <c r="H280" i="1"/>
  <c r="M280" i="1" s="1"/>
  <c r="S282" i="1"/>
  <c r="K146" i="1" l="1"/>
  <c r="N146" i="1" s="1"/>
  <c r="S284" i="1"/>
  <c r="H282" i="1"/>
  <c r="M282" i="1" s="1"/>
  <c r="S281" i="1"/>
  <c r="H279" i="1"/>
  <c r="M279" i="1" s="1"/>
  <c r="C112" i="1"/>
  <c r="D111" i="1"/>
  <c r="G112" i="1"/>
  <c r="I112" i="1"/>
  <c r="E113" i="1" s="1"/>
  <c r="T279" i="1"/>
  <c r="P280" i="1" s="1"/>
  <c r="T280" i="1" s="1"/>
  <c r="P281" i="1" s="1"/>
  <c r="T281" i="1" s="1"/>
  <c r="P282" i="1" s="1"/>
  <c r="T282" i="1" s="1"/>
  <c r="P283" i="1" s="1"/>
  <c r="K147" i="1" l="1"/>
  <c r="N147" i="1" s="1"/>
  <c r="I113" i="1"/>
  <c r="E114" i="1" s="1"/>
  <c r="G113" i="1"/>
  <c r="D112" i="1"/>
  <c r="C113" i="1"/>
  <c r="H281" i="1"/>
  <c r="M281" i="1" s="1"/>
  <c r="S283" i="1"/>
  <c r="S286" i="1"/>
  <c r="H284" i="1"/>
  <c r="M284" i="1" s="1"/>
  <c r="K148" i="1" l="1"/>
  <c r="N148" i="1" s="1"/>
  <c r="H286" i="1"/>
  <c r="M286" i="1" s="1"/>
  <c r="S288" i="1"/>
  <c r="D113" i="1"/>
  <c r="C114" i="1"/>
  <c r="S285" i="1"/>
  <c r="H283" i="1"/>
  <c r="M283" i="1" s="1"/>
  <c r="I114" i="1"/>
  <c r="E115" i="1" s="1"/>
  <c r="G114" i="1"/>
  <c r="T283" i="1"/>
  <c r="P284" i="1" s="1"/>
  <c r="T284" i="1" s="1"/>
  <c r="P285" i="1" s="1"/>
  <c r="T285" i="1" s="1"/>
  <c r="P286" i="1" s="1"/>
  <c r="T286" i="1" s="1"/>
  <c r="P287" i="1" s="1"/>
  <c r="N149" i="1" l="1"/>
  <c r="K149" i="1"/>
  <c r="I115" i="1"/>
  <c r="E116" i="1" s="1"/>
  <c r="G115" i="1"/>
  <c r="S287" i="1"/>
  <c r="H285" i="1"/>
  <c r="M285" i="1" s="1"/>
  <c r="C115" i="1"/>
  <c r="D114" i="1"/>
  <c r="H288" i="1"/>
  <c r="M288" i="1" s="1"/>
  <c r="S290" i="1"/>
  <c r="T287" i="1"/>
  <c r="P288" i="1" s="1"/>
  <c r="T288" i="1" s="1"/>
  <c r="P289" i="1" s="1"/>
  <c r="H290" i="1" l="1"/>
  <c r="M290" i="1" s="1"/>
  <c r="S292" i="1"/>
  <c r="I116" i="1"/>
  <c r="E117" i="1" s="1"/>
  <c r="G116" i="1"/>
  <c r="C116" i="1"/>
  <c r="D115" i="1"/>
  <c r="S289" i="1"/>
  <c r="H287" i="1"/>
  <c r="M287" i="1" s="1"/>
  <c r="K150" i="1"/>
  <c r="N150" i="1" s="1"/>
  <c r="K151" i="1" l="1"/>
  <c r="N151" i="1"/>
  <c r="S291" i="1"/>
  <c r="H289" i="1"/>
  <c r="M289" i="1" s="1"/>
  <c r="C117" i="1"/>
  <c r="D116" i="1"/>
  <c r="H292" i="1"/>
  <c r="M292" i="1" s="1"/>
  <c r="S294" i="1"/>
  <c r="G117" i="1"/>
  <c r="I117" i="1"/>
  <c r="E118" i="1" s="1"/>
  <c r="T289" i="1"/>
  <c r="P290" i="1" s="1"/>
  <c r="T290" i="1" s="1"/>
  <c r="P291" i="1" s="1"/>
  <c r="T291" i="1" s="1"/>
  <c r="P292" i="1" s="1"/>
  <c r="T292" i="1" s="1"/>
  <c r="P293" i="1" s="1"/>
  <c r="G118" i="1" l="1"/>
  <c r="I118" i="1"/>
  <c r="E119" i="1" s="1"/>
  <c r="S296" i="1"/>
  <c r="H294" i="1"/>
  <c r="M294" i="1" s="1"/>
  <c r="D117" i="1"/>
  <c r="C118" i="1"/>
  <c r="H291" i="1"/>
  <c r="M291" i="1" s="1"/>
  <c r="S293" i="1"/>
  <c r="K152" i="1"/>
  <c r="N152" i="1" s="1"/>
  <c r="K153" i="1" l="1"/>
  <c r="N153" i="1" s="1"/>
  <c r="H293" i="1"/>
  <c r="M293" i="1" s="1"/>
  <c r="S295" i="1"/>
  <c r="C119" i="1"/>
  <c r="D118" i="1"/>
  <c r="S298" i="1"/>
  <c r="H296" i="1"/>
  <c r="M296" i="1" s="1"/>
  <c r="I119" i="1"/>
  <c r="E120" i="1" s="1"/>
  <c r="G119" i="1"/>
  <c r="T293" i="1"/>
  <c r="P294" i="1" s="1"/>
  <c r="T294" i="1" s="1"/>
  <c r="P295" i="1" s="1"/>
  <c r="T295" i="1" s="1"/>
  <c r="P296" i="1" s="1"/>
  <c r="T296" i="1" s="1"/>
  <c r="P297" i="1" s="1"/>
  <c r="K154" i="1" l="1"/>
  <c r="N154" i="1"/>
  <c r="I120" i="1"/>
  <c r="E121" i="1" s="1"/>
  <c r="G120" i="1"/>
  <c r="S300" i="1"/>
  <c r="H300" i="1" s="1"/>
  <c r="M300" i="1" s="1"/>
  <c r="H298" i="1"/>
  <c r="M298" i="1" s="1"/>
  <c r="D119" i="1"/>
  <c r="C120" i="1"/>
  <c r="H295" i="1"/>
  <c r="M295" i="1" s="1"/>
  <c r="S297" i="1"/>
  <c r="T297" i="1" s="1"/>
  <c r="P298" i="1" s="1"/>
  <c r="T298" i="1" s="1"/>
  <c r="P299" i="1" s="1"/>
  <c r="C121" i="1" l="1"/>
  <c r="D120" i="1"/>
  <c r="S299" i="1"/>
  <c r="H297" i="1"/>
  <c r="M297" i="1" s="1"/>
  <c r="G121" i="1"/>
  <c r="I121" i="1"/>
  <c r="E122" i="1" s="1"/>
  <c r="K155" i="1"/>
  <c r="N155" i="1" s="1"/>
  <c r="K156" i="1" l="1"/>
  <c r="N156" i="1" s="1"/>
  <c r="I122" i="1"/>
  <c r="E123" i="1" s="1"/>
  <c r="G122" i="1"/>
  <c r="S301" i="1"/>
  <c r="H301" i="1" s="1"/>
  <c r="M301" i="1" s="1"/>
  <c r="H299" i="1"/>
  <c r="M299" i="1" s="1"/>
  <c r="C122" i="1"/>
  <c r="D121" i="1"/>
  <c r="T299" i="1"/>
  <c r="P300" i="1" s="1"/>
  <c r="T300" i="1" s="1"/>
  <c r="P301" i="1" s="1"/>
  <c r="T301" i="1" s="1"/>
  <c r="K157" i="1" l="1"/>
  <c r="N157" i="1"/>
  <c r="D122" i="1"/>
  <c r="C123" i="1"/>
  <c r="I123" i="1"/>
  <c r="E124" i="1" s="1"/>
  <c r="G123" i="1"/>
  <c r="I124" i="1" l="1"/>
  <c r="E125" i="1" s="1"/>
  <c r="G124" i="1"/>
  <c r="C124" i="1"/>
  <c r="D123" i="1"/>
  <c r="K158" i="1"/>
  <c r="N158" i="1" s="1"/>
  <c r="K159" i="1" l="1"/>
  <c r="N159" i="1"/>
  <c r="D124" i="1"/>
  <c r="C125" i="1"/>
  <c r="G125" i="1"/>
  <c r="I125" i="1"/>
  <c r="E126" i="1" s="1"/>
  <c r="I126" i="1" l="1"/>
  <c r="E127" i="1" s="1"/>
  <c r="G126" i="1"/>
  <c r="C126" i="1"/>
  <c r="D125" i="1"/>
  <c r="N160" i="1"/>
  <c r="K160" i="1"/>
  <c r="K161" i="1" l="1"/>
  <c r="N161" i="1" s="1"/>
  <c r="D126" i="1"/>
  <c r="C127" i="1"/>
  <c r="I127" i="1"/>
  <c r="E128" i="1" s="1"/>
  <c r="G127" i="1"/>
  <c r="K162" i="1" l="1"/>
  <c r="N162" i="1"/>
  <c r="I128" i="1"/>
  <c r="E129" i="1" s="1"/>
  <c r="G128" i="1"/>
  <c r="D127" i="1"/>
  <c r="C128" i="1"/>
  <c r="C129" i="1" l="1"/>
  <c r="D128" i="1"/>
  <c r="G129" i="1"/>
  <c r="I129" i="1"/>
  <c r="E130" i="1" s="1"/>
  <c r="K163" i="1"/>
  <c r="N163" i="1" s="1"/>
  <c r="K164" i="1" l="1"/>
  <c r="N164" i="1" s="1"/>
  <c r="I130" i="1"/>
  <c r="E131" i="1" s="1"/>
  <c r="G130" i="1"/>
  <c r="D129" i="1"/>
  <c r="C130" i="1"/>
  <c r="K165" i="1" l="1"/>
  <c r="N165" i="1"/>
  <c r="C131" i="1"/>
  <c r="D130" i="1"/>
  <c r="I131" i="1"/>
  <c r="E132" i="1" s="1"/>
  <c r="G131" i="1"/>
  <c r="I132" i="1" l="1"/>
  <c r="E133" i="1" s="1"/>
  <c r="G132" i="1"/>
  <c r="D131" i="1"/>
  <c r="C132" i="1"/>
  <c r="K166" i="1"/>
  <c r="N166" i="1" s="1"/>
  <c r="K167" i="1" l="1"/>
  <c r="N167" i="1" s="1"/>
  <c r="C133" i="1"/>
  <c r="D132" i="1"/>
  <c r="I133" i="1"/>
  <c r="E134" i="1" s="1"/>
  <c r="G133" i="1"/>
  <c r="K168" i="1" l="1"/>
  <c r="N168" i="1" s="1"/>
  <c r="I134" i="1"/>
  <c r="E135" i="1" s="1"/>
  <c r="G134" i="1"/>
  <c r="C134" i="1"/>
  <c r="D133" i="1"/>
  <c r="K169" i="1" l="1"/>
  <c r="N169" i="1" s="1"/>
  <c r="D134" i="1"/>
  <c r="C135" i="1"/>
  <c r="I135" i="1"/>
  <c r="E136" i="1" s="1"/>
  <c r="G135" i="1"/>
  <c r="K170" i="1" l="1"/>
  <c r="N170" i="1"/>
  <c r="I136" i="1"/>
  <c r="E137" i="1" s="1"/>
  <c r="G136" i="1"/>
  <c r="C136" i="1"/>
  <c r="D135" i="1"/>
  <c r="D136" i="1" l="1"/>
  <c r="C137" i="1"/>
  <c r="G137" i="1"/>
  <c r="I137" i="1"/>
  <c r="E138" i="1" s="1"/>
  <c r="K171" i="1"/>
  <c r="N171" i="1" s="1"/>
  <c r="K172" i="1" l="1"/>
  <c r="N172" i="1" s="1"/>
  <c r="I138" i="1"/>
  <c r="E139" i="1" s="1"/>
  <c r="G138" i="1"/>
  <c r="C138" i="1"/>
  <c r="D137" i="1"/>
  <c r="K173" i="1" l="1"/>
  <c r="N173" i="1" s="1"/>
  <c r="C139" i="1"/>
  <c r="D138" i="1"/>
  <c r="I139" i="1"/>
  <c r="E140" i="1" s="1"/>
  <c r="G139" i="1"/>
  <c r="K174" i="1" l="1"/>
  <c r="N174" i="1"/>
  <c r="I140" i="1"/>
  <c r="E141" i="1" s="1"/>
  <c r="G140" i="1"/>
  <c r="D139" i="1"/>
  <c r="C140" i="1"/>
  <c r="C141" i="1" l="1"/>
  <c r="D140" i="1"/>
  <c r="I141" i="1"/>
  <c r="E142" i="1" s="1"/>
  <c r="G141" i="1"/>
  <c r="K175" i="1"/>
  <c r="N175" i="1" s="1"/>
  <c r="K176" i="1" l="1"/>
  <c r="N176" i="1" s="1"/>
  <c r="I142" i="1"/>
  <c r="E143" i="1" s="1"/>
  <c r="G142" i="1"/>
  <c r="D141" i="1"/>
  <c r="C142" i="1"/>
  <c r="K177" i="1" l="1"/>
  <c r="N177" i="1" s="1"/>
  <c r="D142" i="1"/>
  <c r="C143" i="1"/>
  <c r="G143" i="1"/>
  <c r="I143" i="1"/>
  <c r="E144" i="1" s="1"/>
  <c r="K178" i="1" l="1"/>
  <c r="N178" i="1"/>
  <c r="D143" i="1"/>
  <c r="C144" i="1"/>
  <c r="I144" i="1"/>
  <c r="E145" i="1" s="1"/>
  <c r="G144" i="1"/>
  <c r="C145" i="1" l="1"/>
  <c r="D144" i="1"/>
  <c r="G145" i="1"/>
  <c r="I145" i="1"/>
  <c r="E146" i="1" s="1"/>
  <c r="K179" i="1"/>
  <c r="N179" i="1"/>
  <c r="K180" i="1" l="1"/>
  <c r="N180" i="1"/>
  <c r="I146" i="1"/>
  <c r="E147" i="1" s="1"/>
  <c r="G146" i="1"/>
  <c r="D145" i="1"/>
  <c r="C146" i="1"/>
  <c r="D146" i="1" l="1"/>
  <c r="C147" i="1"/>
  <c r="G147" i="1"/>
  <c r="I147" i="1"/>
  <c r="E148" i="1" s="1"/>
  <c r="K181" i="1"/>
  <c r="N181" i="1"/>
  <c r="K182" i="1" l="1"/>
  <c r="N182" i="1" s="1"/>
  <c r="G148" i="1"/>
  <c r="I148" i="1"/>
  <c r="E149" i="1" s="1"/>
  <c r="D147" i="1"/>
  <c r="C148" i="1"/>
  <c r="K183" i="1" l="1"/>
  <c r="N183" i="1" s="1"/>
  <c r="D148" i="1"/>
  <c r="C149" i="1"/>
  <c r="I149" i="1"/>
  <c r="E150" i="1" s="1"/>
  <c r="G149" i="1"/>
  <c r="K184" i="1" l="1"/>
  <c r="N184" i="1" s="1"/>
  <c r="I150" i="1"/>
  <c r="E151" i="1" s="1"/>
  <c r="G150" i="1"/>
  <c r="D149" i="1"/>
  <c r="C150" i="1"/>
  <c r="K185" i="1" l="1"/>
  <c r="N185" i="1"/>
  <c r="D150" i="1"/>
  <c r="C151" i="1"/>
  <c r="I151" i="1"/>
  <c r="E152" i="1" s="1"/>
  <c r="G151" i="1"/>
  <c r="D151" i="1" l="1"/>
  <c r="C152" i="1"/>
  <c r="G152" i="1"/>
  <c r="I152" i="1"/>
  <c r="E153" i="1" s="1"/>
  <c r="K186" i="1"/>
  <c r="N186" i="1" s="1"/>
  <c r="K187" i="1" l="1"/>
  <c r="N187" i="1" s="1"/>
  <c r="I153" i="1"/>
  <c r="E154" i="1" s="1"/>
  <c r="G153" i="1"/>
  <c r="C153" i="1"/>
  <c r="D152" i="1"/>
  <c r="K188" i="1" l="1"/>
  <c r="N188" i="1"/>
  <c r="C154" i="1"/>
  <c r="D153" i="1"/>
  <c r="I154" i="1"/>
  <c r="E155" i="1" s="1"/>
  <c r="G154" i="1"/>
  <c r="I155" i="1" l="1"/>
  <c r="E156" i="1" s="1"/>
  <c r="G155" i="1"/>
  <c r="D154" i="1"/>
  <c r="C155" i="1"/>
  <c r="K189" i="1"/>
  <c r="N189" i="1" s="1"/>
  <c r="K190" i="1" l="1"/>
  <c r="N190" i="1" s="1"/>
  <c r="C156" i="1"/>
  <c r="D155" i="1"/>
  <c r="I156" i="1"/>
  <c r="E157" i="1" s="1"/>
  <c r="G156" i="1"/>
  <c r="K191" i="1" l="1"/>
  <c r="N191" i="1" s="1"/>
  <c r="I157" i="1"/>
  <c r="E158" i="1" s="1"/>
  <c r="G157" i="1"/>
  <c r="D156" i="1"/>
  <c r="C157" i="1"/>
  <c r="K192" i="1" l="1"/>
  <c r="N192" i="1" s="1"/>
  <c r="D157" i="1"/>
  <c r="C158" i="1"/>
  <c r="I158" i="1"/>
  <c r="E159" i="1" s="1"/>
  <c r="G158" i="1"/>
  <c r="K193" i="1" l="1"/>
  <c r="N193" i="1" s="1"/>
  <c r="I159" i="1"/>
  <c r="E160" i="1" s="1"/>
  <c r="G159" i="1"/>
  <c r="C159" i="1"/>
  <c r="D158" i="1"/>
  <c r="K194" i="1" l="1"/>
  <c r="N194" i="1" s="1"/>
  <c r="D159" i="1"/>
  <c r="C160" i="1"/>
  <c r="I160" i="1"/>
  <c r="E161" i="1" s="1"/>
  <c r="G160" i="1"/>
  <c r="K195" i="1" l="1"/>
  <c r="N195" i="1"/>
  <c r="I161" i="1"/>
  <c r="E162" i="1" s="1"/>
  <c r="G161" i="1"/>
  <c r="D160" i="1"/>
  <c r="C161" i="1"/>
  <c r="C162" i="1" l="1"/>
  <c r="D161" i="1"/>
  <c r="G162" i="1"/>
  <c r="I162" i="1"/>
  <c r="E163" i="1" s="1"/>
  <c r="K196" i="1"/>
  <c r="N196" i="1" s="1"/>
  <c r="K197" i="1" l="1"/>
  <c r="N197" i="1" s="1"/>
  <c r="I163" i="1"/>
  <c r="E164" i="1" s="1"/>
  <c r="G163" i="1"/>
  <c r="C163" i="1"/>
  <c r="D162" i="1"/>
  <c r="K198" i="1" l="1"/>
  <c r="N198" i="1"/>
  <c r="C164" i="1"/>
  <c r="D163" i="1"/>
  <c r="G164" i="1"/>
  <c r="I164" i="1"/>
  <c r="E165" i="1" s="1"/>
  <c r="I165" i="1" l="1"/>
  <c r="E166" i="1" s="1"/>
  <c r="G165" i="1"/>
  <c r="C165" i="1"/>
  <c r="D164" i="1"/>
  <c r="K199" i="1"/>
  <c r="N199" i="1" s="1"/>
  <c r="K200" i="1" l="1"/>
  <c r="N200" i="1" s="1"/>
  <c r="C166" i="1"/>
  <c r="D165" i="1"/>
  <c r="I166" i="1"/>
  <c r="E167" i="1" s="1"/>
  <c r="G166" i="1"/>
  <c r="K201" i="1" l="1"/>
  <c r="N201" i="1"/>
  <c r="G167" i="1"/>
  <c r="I167" i="1"/>
  <c r="E168" i="1" s="1"/>
  <c r="C167" i="1"/>
  <c r="D166" i="1"/>
  <c r="D167" i="1" l="1"/>
  <c r="C168" i="1"/>
  <c r="K202" i="1"/>
  <c r="N202" i="1"/>
  <c r="G168" i="1"/>
  <c r="I168" i="1"/>
  <c r="E169" i="1" s="1"/>
  <c r="G169" i="1" l="1"/>
  <c r="I169" i="1"/>
  <c r="E170" i="1" s="1"/>
  <c r="K203" i="1"/>
  <c r="N203" i="1" s="1"/>
  <c r="D168" i="1"/>
  <c r="C169" i="1"/>
  <c r="K204" i="1" l="1"/>
  <c r="N204" i="1" s="1"/>
  <c r="D169" i="1"/>
  <c r="C170" i="1"/>
  <c r="I170" i="1"/>
  <c r="E171" i="1" s="1"/>
  <c r="G170" i="1"/>
  <c r="K205" i="1" l="1"/>
  <c r="N205" i="1" s="1"/>
  <c r="G171" i="1"/>
  <c r="I171" i="1"/>
  <c r="E172" i="1" s="1"/>
  <c r="D170" i="1"/>
  <c r="C171" i="1"/>
  <c r="K206" i="1" l="1"/>
  <c r="N206" i="1" s="1"/>
  <c r="C172" i="1"/>
  <c r="D171" i="1"/>
  <c r="I172" i="1"/>
  <c r="E173" i="1" s="1"/>
  <c r="G172" i="1"/>
  <c r="K207" i="1" l="1"/>
  <c r="N207" i="1"/>
  <c r="G173" i="1"/>
  <c r="I173" i="1"/>
  <c r="E174" i="1" s="1"/>
  <c r="C173" i="1"/>
  <c r="D172" i="1"/>
  <c r="G174" i="1" l="1"/>
  <c r="I174" i="1"/>
  <c r="E175" i="1" s="1"/>
  <c r="D173" i="1"/>
  <c r="C174" i="1"/>
  <c r="K208" i="1"/>
  <c r="N208" i="1" s="1"/>
  <c r="K209" i="1" l="1"/>
  <c r="N209" i="1"/>
  <c r="C175" i="1"/>
  <c r="D174" i="1"/>
  <c r="G175" i="1"/>
  <c r="I175" i="1"/>
  <c r="E176" i="1" s="1"/>
  <c r="I176" i="1" l="1"/>
  <c r="E177" i="1" s="1"/>
  <c r="G176" i="1"/>
  <c r="C176" i="1"/>
  <c r="D175" i="1"/>
  <c r="K210" i="1"/>
  <c r="N210" i="1" s="1"/>
  <c r="K211" i="1" l="1"/>
  <c r="N211" i="1"/>
  <c r="D176" i="1"/>
  <c r="C177" i="1"/>
  <c r="G177" i="1"/>
  <c r="I177" i="1"/>
  <c r="E178" i="1" s="1"/>
  <c r="D177" i="1" l="1"/>
  <c r="C178" i="1"/>
  <c r="I178" i="1"/>
  <c r="E179" i="1" s="1"/>
  <c r="G178" i="1"/>
  <c r="K212" i="1"/>
  <c r="N212" i="1"/>
  <c r="K213" i="1" l="1"/>
  <c r="N213" i="1" s="1"/>
  <c r="I179" i="1"/>
  <c r="E180" i="1" s="1"/>
  <c r="G179" i="1"/>
  <c r="C179" i="1"/>
  <c r="D178" i="1"/>
  <c r="K214" i="1" l="1"/>
  <c r="N214" i="1" s="1"/>
  <c r="C180" i="1"/>
  <c r="D179" i="1"/>
  <c r="I180" i="1"/>
  <c r="E181" i="1" s="1"/>
  <c r="G180" i="1"/>
  <c r="K215" i="1" l="1"/>
  <c r="N215" i="1" s="1"/>
  <c r="I181" i="1"/>
  <c r="E182" i="1" s="1"/>
  <c r="G181" i="1"/>
  <c r="C181" i="1"/>
  <c r="D180" i="1"/>
  <c r="K216" i="1" l="1"/>
  <c r="N216" i="1" s="1"/>
  <c r="D181" i="1"/>
  <c r="C182" i="1"/>
  <c r="G182" i="1"/>
  <c r="I182" i="1"/>
  <c r="E183" i="1" s="1"/>
  <c r="K217" i="1" l="1"/>
  <c r="N217" i="1"/>
  <c r="G183" i="1"/>
  <c r="I183" i="1"/>
  <c r="E184" i="1" s="1"/>
  <c r="C183" i="1"/>
  <c r="D182" i="1"/>
  <c r="D183" i="1" l="1"/>
  <c r="C184" i="1"/>
  <c r="I184" i="1"/>
  <c r="E185" i="1" s="1"/>
  <c r="G184" i="1"/>
  <c r="K218" i="1"/>
  <c r="N218" i="1" s="1"/>
  <c r="K219" i="1" l="1"/>
  <c r="N219" i="1"/>
  <c r="I185" i="1"/>
  <c r="E186" i="1" s="1"/>
  <c r="G185" i="1"/>
  <c r="C185" i="1"/>
  <c r="D184" i="1"/>
  <c r="C186" i="1" l="1"/>
  <c r="D185" i="1"/>
  <c r="I186" i="1"/>
  <c r="E187" i="1" s="1"/>
  <c r="G186" i="1"/>
  <c r="K220" i="1"/>
  <c r="N220" i="1"/>
  <c r="K221" i="1" l="1"/>
  <c r="N221" i="1" s="1"/>
  <c r="G187" i="1"/>
  <c r="I187" i="1"/>
  <c r="E188" i="1" s="1"/>
  <c r="D186" i="1"/>
  <c r="C187" i="1"/>
  <c r="K222" i="1" l="1"/>
  <c r="N222" i="1" s="1"/>
  <c r="D187" i="1"/>
  <c r="C188" i="1"/>
  <c r="I188" i="1"/>
  <c r="E189" i="1" s="1"/>
  <c r="G188" i="1"/>
  <c r="N223" i="1" l="1"/>
  <c r="K223" i="1"/>
  <c r="G189" i="1"/>
  <c r="I189" i="1"/>
  <c r="E190" i="1" s="1"/>
  <c r="D188" i="1"/>
  <c r="C189" i="1"/>
  <c r="D189" i="1" l="1"/>
  <c r="C190" i="1"/>
  <c r="K224" i="1"/>
  <c r="N224" i="1" s="1"/>
  <c r="I190" i="1"/>
  <c r="E191" i="1" s="1"/>
  <c r="G190" i="1"/>
  <c r="K225" i="1" l="1"/>
  <c r="N225" i="1" s="1"/>
  <c r="I191" i="1"/>
  <c r="E192" i="1" s="1"/>
  <c r="G191" i="1"/>
  <c r="C191" i="1"/>
  <c r="D190" i="1"/>
  <c r="K226" i="1" l="1"/>
  <c r="N226" i="1"/>
  <c r="D191" i="1"/>
  <c r="C192" i="1"/>
  <c r="G192" i="1"/>
  <c r="I192" i="1"/>
  <c r="E193" i="1" s="1"/>
  <c r="I193" i="1" l="1"/>
  <c r="E194" i="1" s="1"/>
  <c r="G193" i="1"/>
  <c r="D192" i="1"/>
  <c r="C193" i="1"/>
  <c r="K227" i="1"/>
  <c r="N227" i="1"/>
  <c r="K228" i="1" l="1"/>
  <c r="N228" i="1" s="1"/>
  <c r="D193" i="1"/>
  <c r="C194" i="1"/>
  <c r="G194" i="1"/>
  <c r="I194" i="1"/>
  <c r="E195" i="1" s="1"/>
  <c r="K229" i="1" l="1"/>
  <c r="N229" i="1" s="1"/>
  <c r="I195" i="1"/>
  <c r="E196" i="1" s="1"/>
  <c r="G195" i="1"/>
  <c r="D194" i="1"/>
  <c r="C195" i="1"/>
  <c r="K230" i="1" l="1"/>
  <c r="N230" i="1"/>
  <c r="D195" i="1"/>
  <c r="C196" i="1"/>
  <c r="G196" i="1"/>
  <c r="I196" i="1"/>
  <c r="E197" i="1" s="1"/>
  <c r="D196" i="1" l="1"/>
  <c r="C197" i="1"/>
  <c r="I197" i="1"/>
  <c r="E198" i="1" s="1"/>
  <c r="G197" i="1"/>
  <c r="K231" i="1"/>
  <c r="N231" i="1" s="1"/>
  <c r="K232" i="1" l="1"/>
  <c r="N232" i="1" s="1"/>
  <c r="I198" i="1"/>
  <c r="E199" i="1" s="1"/>
  <c r="G198" i="1"/>
  <c r="D197" i="1"/>
  <c r="C198" i="1"/>
  <c r="K233" i="1" l="1"/>
  <c r="N233" i="1"/>
  <c r="D198" i="1"/>
  <c r="C199" i="1"/>
  <c r="I199" i="1"/>
  <c r="E200" i="1" s="1"/>
  <c r="G199" i="1"/>
  <c r="I200" i="1" l="1"/>
  <c r="E201" i="1" s="1"/>
  <c r="G200" i="1"/>
  <c r="C200" i="1"/>
  <c r="D199" i="1"/>
  <c r="K234" i="1"/>
  <c r="N234" i="1" s="1"/>
  <c r="K235" i="1" l="1"/>
  <c r="N235" i="1"/>
  <c r="D200" i="1"/>
  <c r="C201" i="1"/>
  <c r="I201" i="1"/>
  <c r="E202" i="1" s="1"/>
  <c r="G201" i="1"/>
  <c r="I202" i="1" l="1"/>
  <c r="E203" i="1" s="1"/>
  <c r="G202" i="1"/>
  <c r="C202" i="1"/>
  <c r="D201" i="1"/>
  <c r="K236" i="1"/>
  <c r="N236" i="1" s="1"/>
  <c r="K237" i="1" l="1"/>
  <c r="N237" i="1"/>
  <c r="C203" i="1"/>
  <c r="D202" i="1"/>
  <c r="I203" i="1"/>
  <c r="E204" i="1" s="1"/>
  <c r="G203" i="1"/>
  <c r="G204" i="1" l="1"/>
  <c r="I204" i="1"/>
  <c r="E205" i="1" s="1"/>
  <c r="D203" i="1"/>
  <c r="C204" i="1"/>
  <c r="K238" i="1"/>
  <c r="N238" i="1"/>
  <c r="K239" i="1" l="1"/>
  <c r="N239" i="1" s="1"/>
  <c r="C205" i="1"/>
  <c r="D204" i="1"/>
  <c r="AL205" i="1"/>
  <c r="G205" i="1"/>
  <c r="I205" i="1"/>
  <c r="E206" i="1" s="1"/>
  <c r="K240" i="1" l="1"/>
  <c r="N240" i="1" s="1"/>
  <c r="AL206" i="1"/>
  <c r="I206" i="1"/>
  <c r="E207" i="1" s="1"/>
  <c r="G206" i="1"/>
  <c r="C206" i="1"/>
  <c r="D205" i="1"/>
  <c r="K241" i="1" l="1"/>
  <c r="N241" i="1" s="1"/>
  <c r="D206" i="1"/>
  <c r="C207" i="1"/>
  <c r="I207" i="1"/>
  <c r="E208" i="1" s="1"/>
  <c r="G207" i="1"/>
  <c r="AL207" i="1"/>
  <c r="K242" i="1" l="1"/>
  <c r="N242" i="1" s="1"/>
  <c r="AL208" i="1"/>
  <c r="G208" i="1"/>
  <c r="I208" i="1"/>
  <c r="E209" i="1" s="1"/>
  <c r="D207" i="1"/>
  <c r="C208" i="1"/>
  <c r="K243" i="1" l="1"/>
  <c r="N243" i="1"/>
  <c r="D208" i="1"/>
  <c r="C209" i="1"/>
  <c r="I209" i="1"/>
  <c r="E210" i="1" s="1"/>
  <c r="G209" i="1"/>
  <c r="AL209" i="1"/>
  <c r="I210" i="1" l="1"/>
  <c r="E211" i="1" s="1"/>
  <c r="G210" i="1"/>
  <c r="AL210" i="1"/>
  <c r="D209" i="1"/>
  <c r="C210" i="1"/>
  <c r="K244" i="1"/>
  <c r="N244" i="1" s="1"/>
  <c r="K245" i="1" l="1"/>
  <c r="N245" i="1" s="1"/>
  <c r="C211" i="1"/>
  <c r="D210" i="1"/>
  <c r="I211" i="1"/>
  <c r="E212" i="1" s="1"/>
  <c r="G211" i="1"/>
  <c r="AL211" i="1"/>
  <c r="K246" i="1" l="1"/>
  <c r="N246" i="1"/>
  <c r="I212" i="1"/>
  <c r="E213" i="1" s="1"/>
  <c r="AL212" i="1"/>
  <c r="G212" i="1"/>
  <c r="D211" i="1"/>
  <c r="C212" i="1"/>
  <c r="C213" i="1" l="1"/>
  <c r="D212" i="1"/>
  <c r="G213" i="1"/>
  <c r="I213" i="1"/>
  <c r="E214" i="1" s="1"/>
  <c r="AL213" i="1"/>
  <c r="K247" i="1"/>
  <c r="N247" i="1"/>
  <c r="K248" i="1" l="1"/>
  <c r="N248" i="1" s="1"/>
  <c r="I214" i="1"/>
  <c r="E215" i="1" s="1"/>
  <c r="AL214" i="1"/>
  <c r="G214" i="1"/>
  <c r="D213" i="1"/>
  <c r="C214" i="1"/>
  <c r="K249" i="1" l="1"/>
  <c r="N249" i="1"/>
  <c r="D214" i="1"/>
  <c r="C215" i="1"/>
  <c r="AL215" i="1"/>
  <c r="I215" i="1"/>
  <c r="E216" i="1" s="1"/>
  <c r="G215" i="1"/>
  <c r="G216" i="1" l="1"/>
  <c r="I216" i="1"/>
  <c r="E217" i="1" s="1"/>
  <c r="AL216" i="1"/>
  <c r="C216" i="1"/>
  <c r="D215" i="1"/>
  <c r="K250" i="1"/>
  <c r="N250" i="1" s="1"/>
  <c r="K251" i="1" l="1"/>
  <c r="N251" i="1"/>
  <c r="D216" i="1"/>
  <c r="C217" i="1"/>
  <c r="I217" i="1"/>
  <c r="E218" i="1" s="1"/>
  <c r="AL217" i="1"/>
  <c r="G217" i="1"/>
  <c r="AL218" i="1" l="1"/>
  <c r="G218" i="1"/>
  <c r="I218" i="1"/>
  <c r="E219" i="1" s="1"/>
  <c r="C218" i="1"/>
  <c r="D217" i="1"/>
  <c r="K252" i="1"/>
  <c r="N252" i="1" s="1"/>
  <c r="K253" i="1" l="1"/>
  <c r="N253" i="1"/>
  <c r="C219" i="1"/>
  <c r="D218" i="1"/>
  <c r="G219" i="1"/>
  <c r="AL219" i="1"/>
  <c r="I219" i="1"/>
  <c r="E220" i="1" s="1"/>
  <c r="I220" i="1" l="1"/>
  <c r="E221" i="1" s="1"/>
  <c r="G220" i="1"/>
  <c r="AL220" i="1"/>
  <c r="D219" i="1"/>
  <c r="C220" i="1"/>
  <c r="K254" i="1"/>
  <c r="N254" i="1" s="1"/>
  <c r="K255" i="1" l="1"/>
  <c r="N255" i="1"/>
  <c r="C221" i="1"/>
  <c r="D220" i="1"/>
  <c r="G221" i="1"/>
  <c r="I221" i="1"/>
  <c r="E222" i="1" s="1"/>
  <c r="AL221" i="1"/>
  <c r="AL222" i="1" l="1"/>
  <c r="I222" i="1"/>
  <c r="E223" i="1" s="1"/>
  <c r="G222" i="1"/>
  <c r="D221" i="1"/>
  <c r="C222" i="1"/>
  <c r="K256" i="1"/>
  <c r="N256" i="1"/>
  <c r="K257" i="1" l="1"/>
  <c r="N257" i="1"/>
  <c r="D222" i="1"/>
  <c r="C223" i="1"/>
  <c r="G223" i="1"/>
  <c r="AL223" i="1"/>
  <c r="I223" i="1"/>
  <c r="E224" i="1" s="1"/>
  <c r="I224" i="1" l="1"/>
  <c r="E225" i="1" s="1"/>
  <c r="G224" i="1"/>
  <c r="AL224" i="1"/>
  <c r="D223" i="1"/>
  <c r="C224" i="1"/>
  <c r="K258" i="1"/>
  <c r="N258" i="1" s="1"/>
  <c r="K259" i="1" l="1"/>
  <c r="N259" i="1" s="1"/>
  <c r="D224" i="1"/>
  <c r="C225" i="1"/>
  <c r="AL225" i="1"/>
  <c r="G225" i="1"/>
  <c r="I225" i="1"/>
  <c r="E226" i="1" s="1"/>
  <c r="K260" i="1" l="1"/>
  <c r="N260" i="1"/>
  <c r="G226" i="1"/>
  <c r="I226" i="1"/>
  <c r="E227" i="1" s="1"/>
  <c r="AL226" i="1"/>
  <c r="C226" i="1"/>
  <c r="D225" i="1"/>
  <c r="D226" i="1" l="1"/>
  <c r="C227" i="1"/>
  <c r="I227" i="1"/>
  <c r="E228" i="1" s="1"/>
  <c r="AL227" i="1"/>
  <c r="G227" i="1"/>
  <c r="K261" i="1"/>
  <c r="N261" i="1"/>
  <c r="K262" i="1" l="1"/>
  <c r="N262" i="1"/>
  <c r="AL228" i="1"/>
  <c r="I228" i="1"/>
  <c r="E229" i="1" s="1"/>
  <c r="G228" i="1"/>
  <c r="C228" i="1"/>
  <c r="D227" i="1"/>
  <c r="K263" i="1" l="1"/>
  <c r="N263" i="1" s="1"/>
  <c r="D228" i="1"/>
  <c r="C229" i="1"/>
  <c r="I229" i="1"/>
  <c r="E230" i="1" s="1"/>
  <c r="AL229" i="1"/>
  <c r="G229" i="1"/>
  <c r="N264" i="1" l="1"/>
  <c r="K264" i="1"/>
  <c r="I230" i="1"/>
  <c r="E231" i="1" s="1"/>
  <c r="G230" i="1"/>
  <c r="AL230" i="1"/>
  <c r="C230" i="1"/>
  <c r="D229" i="1"/>
  <c r="C231" i="1" l="1"/>
  <c r="D230" i="1"/>
  <c r="G231" i="1"/>
  <c r="I231" i="1"/>
  <c r="E232" i="1" s="1"/>
  <c r="AL231" i="1"/>
  <c r="K265" i="1"/>
  <c r="N265" i="1" s="1"/>
  <c r="K266" i="1" l="1"/>
  <c r="N266" i="1" s="1"/>
  <c r="I232" i="1"/>
  <c r="E233" i="1" s="1"/>
  <c r="G232" i="1"/>
  <c r="AL232" i="1"/>
  <c r="C232" i="1"/>
  <c r="D231" i="1"/>
  <c r="K267" i="1" l="1"/>
  <c r="N267" i="1" s="1"/>
  <c r="D232" i="1"/>
  <c r="C233" i="1"/>
  <c r="G233" i="1"/>
  <c r="AL233" i="1"/>
  <c r="I233" i="1"/>
  <c r="E234" i="1" s="1"/>
  <c r="K268" i="1" l="1"/>
  <c r="N268" i="1"/>
  <c r="G234" i="1"/>
  <c r="I234" i="1"/>
  <c r="E235" i="1" s="1"/>
  <c r="AL234" i="1"/>
  <c r="D233" i="1"/>
  <c r="C234" i="1"/>
  <c r="D234" i="1" l="1"/>
  <c r="C235" i="1"/>
  <c r="AL235" i="1"/>
  <c r="I235" i="1"/>
  <c r="E236" i="1" s="1"/>
  <c r="G235" i="1"/>
  <c r="K269" i="1"/>
  <c r="N269" i="1" s="1"/>
  <c r="K270" i="1" l="1"/>
  <c r="N270" i="1"/>
  <c r="C236" i="1"/>
  <c r="D235" i="1"/>
  <c r="I236" i="1"/>
  <c r="E237" i="1" s="1"/>
  <c r="G236" i="1"/>
  <c r="AL236" i="1"/>
  <c r="I237" i="1" l="1"/>
  <c r="E238" i="1" s="1"/>
  <c r="AL237" i="1"/>
  <c r="G237" i="1"/>
  <c r="D236" i="1"/>
  <c r="C237" i="1"/>
  <c r="K271" i="1"/>
  <c r="N271" i="1"/>
  <c r="K272" i="1" l="1"/>
  <c r="N272" i="1"/>
  <c r="C238" i="1"/>
  <c r="D237" i="1"/>
  <c r="AL238" i="1"/>
  <c r="I238" i="1"/>
  <c r="E239" i="1" s="1"/>
  <c r="G238" i="1"/>
  <c r="I239" i="1" l="1"/>
  <c r="E240" i="1" s="1"/>
  <c r="AL239" i="1"/>
  <c r="G239" i="1"/>
  <c r="C239" i="1"/>
  <c r="D238" i="1"/>
  <c r="K273" i="1"/>
  <c r="N273" i="1" s="1"/>
  <c r="K274" i="1" l="1"/>
  <c r="N274" i="1" s="1"/>
  <c r="C240" i="1"/>
  <c r="D239" i="1"/>
  <c r="I240" i="1"/>
  <c r="E241" i="1" s="1"/>
  <c r="G240" i="1"/>
  <c r="AL240" i="1"/>
  <c r="N275" i="1" l="1"/>
  <c r="K275" i="1"/>
  <c r="G241" i="1"/>
  <c r="I241" i="1"/>
  <c r="E242" i="1" s="1"/>
  <c r="AL241" i="1"/>
  <c r="C241" i="1"/>
  <c r="D240" i="1"/>
  <c r="K276" i="1" l="1"/>
  <c r="N276" i="1" s="1"/>
  <c r="D241" i="1"/>
  <c r="C242" i="1"/>
  <c r="AL242" i="1"/>
  <c r="I242" i="1"/>
  <c r="E243" i="1" s="1"/>
  <c r="G242" i="1"/>
  <c r="K277" i="1" l="1"/>
  <c r="N277" i="1"/>
  <c r="C243" i="1"/>
  <c r="D242" i="1"/>
  <c r="G243" i="1"/>
  <c r="AL243" i="1"/>
  <c r="I243" i="1"/>
  <c r="E244" i="1" s="1"/>
  <c r="D243" i="1" l="1"/>
  <c r="C244" i="1"/>
  <c r="I244" i="1"/>
  <c r="E245" i="1" s="1"/>
  <c r="G244" i="1"/>
  <c r="AL244" i="1"/>
  <c r="K278" i="1"/>
  <c r="N278" i="1" s="1"/>
  <c r="K279" i="1" l="1"/>
  <c r="N279" i="1" s="1"/>
  <c r="C245" i="1"/>
  <c r="D244" i="1"/>
  <c r="AL245" i="1"/>
  <c r="I245" i="1"/>
  <c r="E246" i="1" s="1"/>
  <c r="G245" i="1"/>
  <c r="K280" i="1" l="1"/>
  <c r="N280" i="1" s="1"/>
  <c r="I246" i="1"/>
  <c r="E247" i="1" s="1"/>
  <c r="G246" i="1"/>
  <c r="AL246" i="1"/>
  <c r="C246" i="1"/>
  <c r="D245" i="1"/>
  <c r="N281" i="1" l="1"/>
  <c r="K281" i="1"/>
  <c r="D246" i="1"/>
  <c r="C247" i="1"/>
  <c r="I247" i="1"/>
  <c r="E248" i="1" s="1"/>
  <c r="G247" i="1"/>
  <c r="AL247" i="1"/>
  <c r="N282" i="1" l="1"/>
  <c r="K282" i="1"/>
  <c r="AL248" i="1"/>
  <c r="I248" i="1"/>
  <c r="E249" i="1" s="1"/>
  <c r="G248" i="1"/>
  <c r="C248" i="1"/>
  <c r="D247" i="1"/>
  <c r="D248" i="1" l="1"/>
  <c r="C249" i="1"/>
  <c r="I249" i="1"/>
  <c r="E250" i="1" s="1"/>
  <c r="AL249" i="1"/>
  <c r="G249" i="1"/>
  <c r="K283" i="1"/>
  <c r="N283" i="1"/>
  <c r="K284" i="1" l="1"/>
  <c r="N284" i="1" s="1"/>
  <c r="I250" i="1"/>
  <c r="E251" i="1" s="1"/>
  <c r="G250" i="1"/>
  <c r="AL250" i="1"/>
  <c r="D249" i="1"/>
  <c r="C250" i="1"/>
  <c r="N285" i="1" l="1"/>
  <c r="K285" i="1"/>
  <c r="D250" i="1"/>
  <c r="C251" i="1"/>
  <c r="I251" i="1"/>
  <c r="E252" i="1" s="1"/>
  <c r="AL251" i="1"/>
  <c r="G251" i="1"/>
  <c r="K286" i="1" l="1"/>
  <c r="N286" i="1"/>
  <c r="D251" i="1"/>
  <c r="C252" i="1"/>
  <c r="AL252" i="1"/>
  <c r="I252" i="1"/>
  <c r="E253" i="1" s="1"/>
  <c r="G252" i="1"/>
  <c r="G253" i="1" l="1"/>
  <c r="AL253" i="1"/>
  <c r="I253" i="1"/>
  <c r="E254" i="1" s="1"/>
  <c r="C253" i="1"/>
  <c r="D252" i="1"/>
  <c r="K287" i="1"/>
  <c r="N287" i="1"/>
  <c r="K288" i="1" l="1"/>
  <c r="N288" i="1" s="1"/>
  <c r="D253" i="1"/>
  <c r="C254" i="1"/>
  <c r="I254" i="1"/>
  <c r="E255" i="1" s="1"/>
  <c r="AL254" i="1"/>
  <c r="G254" i="1"/>
  <c r="K289" i="1" l="1"/>
  <c r="N289" i="1"/>
  <c r="C255" i="1"/>
  <c r="D254" i="1"/>
  <c r="AL255" i="1"/>
  <c r="G255" i="1"/>
  <c r="I255" i="1"/>
  <c r="E256" i="1" s="1"/>
  <c r="G256" i="1" l="1"/>
  <c r="I256" i="1"/>
  <c r="E257" i="1" s="1"/>
  <c r="AL256" i="1"/>
  <c r="C256" i="1"/>
  <c r="D255" i="1"/>
  <c r="K290" i="1"/>
  <c r="N290" i="1" s="1"/>
  <c r="K291" i="1" l="1"/>
  <c r="N291" i="1" s="1"/>
  <c r="D256" i="1"/>
  <c r="C257" i="1"/>
  <c r="I257" i="1"/>
  <c r="E258" i="1" s="1"/>
  <c r="AL257" i="1"/>
  <c r="G257" i="1"/>
  <c r="K292" i="1" l="1"/>
  <c r="N292" i="1" s="1"/>
  <c r="C258" i="1"/>
  <c r="D257" i="1"/>
  <c r="AL258" i="1"/>
  <c r="G258" i="1"/>
  <c r="I258" i="1"/>
  <c r="E259" i="1" s="1"/>
  <c r="K293" i="1" l="1"/>
  <c r="N293" i="1"/>
  <c r="I259" i="1"/>
  <c r="E260" i="1" s="1"/>
  <c r="G259" i="1"/>
  <c r="AL259" i="1"/>
  <c r="D258" i="1"/>
  <c r="C259" i="1"/>
  <c r="K294" i="1" l="1"/>
  <c r="N294" i="1" s="1"/>
  <c r="D259" i="1"/>
  <c r="C260" i="1"/>
  <c r="I260" i="1"/>
  <c r="E261" i="1" s="1"/>
  <c r="G260" i="1"/>
  <c r="AL260" i="1"/>
  <c r="K295" i="1" l="1"/>
  <c r="N295" i="1" s="1"/>
  <c r="I261" i="1"/>
  <c r="E262" i="1" s="1"/>
  <c r="G261" i="1"/>
  <c r="AL261" i="1"/>
  <c r="C261" i="1"/>
  <c r="D260" i="1"/>
  <c r="N296" i="1" l="1"/>
  <c r="K296" i="1"/>
  <c r="D261" i="1"/>
  <c r="C262" i="1"/>
  <c r="AL262" i="1"/>
  <c r="G262" i="1"/>
  <c r="I262" i="1"/>
  <c r="E263" i="1" s="1"/>
  <c r="K297" i="1" l="1"/>
  <c r="N297" i="1" s="1"/>
  <c r="C263" i="1"/>
  <c r="D262" i="1"/>
  <c r="G263" i="1"/>
  <c r="AL263" i="1"/>
  <c r="I263" i="1"/>
  <c r="E264" i="1" s="1"/>
  <c r="K298" i="1" l="1"/>
  <c r="N298" i="1"/>
  <c r="AL264" i="1"/>
  <c r="I264" i="1"/>
  <c r="E265" i="1" s="1"/>
  <c r="G264" i="1"/>
  <c r="D263" i="1"/>
  <c r="C264" i="1"/>
  <c r="D264" i="1" l="1"/>
  <c r="C265" i="1"/>
  <c r="K299" i="1"/>
  <c r="N299" i="1"/>
  <c r="AL265" i="1"/>
  <c r="I265" i="1"/>
  <c r="E266" i="1" s="1"/>
  <c r="G265" i="1"/>
  <c r="I266" i="1" l="1"/>
  <c r="E267" i="1" s="1"/>
  <c r="AL266" i="1"/>
  <c r="G266" i="1"/>
  <c r="K300" i="1"/>
  <c r="N300" i="1" s="1"/>
  <c r="C266" i="1"/>
  <c r="D265" i="1"/>
  <c r="K301" i="1" l="1"/>
  <c r="N301" i="1"/>
  <c r="D266" i="1"/>
  <c r="C267" i="1"/>
  <c r="I267" i="1"/>
  <c r="E268" i="1" s="1"/>
  <c r="AL267" i="1"/>
  <c r="G267" i="1"/>
  <c r="AL268" i="1" l="1"/>
  <c r="G268" i="1"/>
  <c r="I268" i="1"/>
  <c r="E269" i="1" s="1"/>
  <c r="C268" i="1"/>
  <c r="D267" i="1"/>
  <c r="G269" i="1" l="1"/>
  <c r="AL269" i="1"/>
  <c r="I269" i="1"/>
  <c r="E270" i="1" s="1"/>
  <c r="D268" i="1"/>
  <c r="C269" i="1"/>
  <c r="C270" i="1" l="1"/>
  <c r="D269" i="1"/>
  <c r="I270" i="1"/>
  <c r="E271" i="1" s="1"/>
  <c r="G270" i="1"/>
  <c r="AL270" i="1"/>
  <c r="G271" i="1" l="1"/>
  <c r="AL271" i="1"/>
  <c r="I271" i="1"/>
  <c r="E272" i="1" s="1"/>
  <c r="D270" i="1"/>
  <c r="C271" i="1"/>
  <c r="D271" i="1" l="1"/>
  <c r="C272" i="1"/>
  <c r="AL272" i="1"/>
  <c r="I272" i="1"/>
  <c r="E273" i="1" s="1"/>
  <c r="G272" i="1"/>
  <c r="G273" i="1" l="1"/>
  <c r="I273" i="1"/>
  <c r="E274" i="1" s="1"/>
  <c r="AL273" i="1"/>
  <c r="D272" i="1"/>
  <c r="C273" i="1"/>
  <c r="D273" i="1" l="1"/>
  <c r="C274" i="1"/>
  <c r="AL274" i="1"/>
  <c r="G274" i="1"/>
  <c r="I274" i="1"/>
  <c r="E275" i="1" s="1"/>
  <c r="AL275" i="1" l="1"/>
  <c r="I275" i="1"/>
  <c r="E276" i="1" s="1"/>
  <c r="G275" i="1"/>
  <c r="C275" i="1"/>
  <c r="D274" i="1"/>
  <c r="C276" i="1" l="1"/>
  <c r="D275" i="1"/>
  <c r="I276" i="1"/>
  <c r="E277" i="1" s="1"/>
  <c r="AL276" i="1"/>
  <c r="G276" i="1"/>
  <c r="I277" i="1" l="1"/>
  <c r="E278" i="1" s="1"/>
  <c r="G277" i="1"/>
  <c r="AL277" i="1"/>
  <c r="D276" i="1"/>
  <c r="C277" i="1"/>
  <c r="C278" i="1" l="1"/>
  <c r="D277" i="1"/>
  <c r="AL278" i="1"/>
  <c r="G278" i="1"/>
  <c r="I278" i="1"/>
  <c r="E279" i="1" s="1"/>
  <c r="AL279" i="1" l="1"/>
  <c r="G279" i="1"/>
  <c r="I279" i="1"/>
  <c r="E280" i="1" s="1"/>
  <c r="D278" i="1"/>
  <c r="C279" i="1"/>
  <c r="D279" i="1" l="1"/>
  <c r="C280" i="1"/>
  <c r="I280" i="1"/>
  <c r="E281" i="1" s="1"/>
  <c r="G280" i="1"/>
  <c r="AL280" i="1"/>
  <c r="I281" i="1" l="1"/>
  <c r="E282" i="1" s="1"/>
  <c r="G281" i="1"/>
  <c r="AL281" i="1"/>
  <c r="C281" i="1"/>
  <c r="D280" i="1"/>
  <c r="D281" i="1" l="1"/>
  <c r="C282" i="1"/>
  <c r="AL282" i="1"/>
  <c r="I282" i="1"/>
  <c r="E283" i="1" s="1"/>
  <c r="G282" i="1"/>
  <c r="G283" i="1" l="1"/>
  <c r="I283" i="1"/>
  <c r="E284" i="1" s="1"/>
  <c r="AL283" i="1"/>
  <c r="C283" i="1"/>
  <c r="D282" i="1"/>
  <c r="D283" i="1" l="1"/>
  <c r="C284" i="1"/>
  <c r="G284" i="1"/>
  <c r="AL284" i="1"/>
  <c r="I284" i="1"/>
  <c r="E285" i="1" s="1"/>
  <c r="AL285" i="1" l="1"/>
  <c r="I285" i="1"/>
  <c r="E286" i="1" s="1"/>
  <c r="G285" i="1"/>
  <c r="C285" i="1"/>
  <c r="D284" i="1"/>
  <c r="C286" i="1" l="1"/>
  <c r="D285" i="1"/>
  <c r="I286" i="1"/>
  <c r="E287" i="1" s="1"/>
  <c r="AL286" i="1"/>
  <c r="G286" i="1"/>
  <c r="I287" i="1" l="1"/>
  <c r="E288" i="1" s="1"/>
  <c r="AL287" i="1"/>
  <c r="G287" i="1"/>
  <c r="D286" i="1"/>
  <c r="C287" i="1"/>
  <c r="C288" i="1" l="1"/>
  <c r="D287" i="1"/>
  <c r="AL288" i="1"/>
  <c r="I288" i="1"/>
  <c r="E289" i="1" s="1"/>
  <c r="G288" i="1"/>
  <c r="AL289" i="1" l="1"/>
  <c r="I289" i="1"/>
  <c r="E290" i="1" s="1"/>
  <c r="G289" i="1"/>
  <c r="D288" i="1"/>
  <c r="C289" i="1"/>
  <c r="C290" i="1" l="1"/>
  <c r="D289" i="1"/>
  <c r="I290" i="1"/>
  <c r="E291" i="1" s="1"/>
  <c r="G290" i="1"/>
  <c r="AL290" i="1"/>
  <c r="I291" i="1" l="1"/>
  <c r="E292" i="1" s="1"/>
  <c r="AL291" i="1"/>
  <c r="G291" i="1"/>
  <c r="C291" i="1"/>
  <c r="D290" i="1"/>
  <c r="C292" i="1" l="1"/>
  <c r="D291" i="1"/>
  <c r="I292" i="1"/>
  <c r="E293" i="1" s="1"/>
  <c r="G292" i="1"/>
  <c r="AL292" i="1"/>
  <c r="G293" i="1" l="1"/>
  <c r="AL293" i="1"/>
  <c r="I293" i="1"/>
  <c r="E294" i="1" s="1"/>
  <c r="C293" i="1"/>
  <c r="D292" i="1"/>
  <c r="D293" i="1" l="1"/>
  <c r="C294" i="1"/>
  <c r="AL294" i="1"/>
  <c r="G294" i="1"/>
  <c r="I294" i="1"/>
  <c r="E295" i="1" s="1"/>
  <c r="AL295" i="1" l="1"/>
  <c r="I295" i="1"/>
  <c r="E296" i="1" s="1"/>
  <c r="G295" i="1"/>
  <c r="C295" i="1"/>
  <c r="D294" i="1"/>
  <c r="C296" i="1" l="1"/>
  <c r="D295" i="1"/>
  <c r="AL296" i="1"/>
  <c r="G296" i="1"/>
  <c r="I296" i="1"/>
  <c r="E297" i="1" s="1"/>
  <c r="I297" i="1" l="1"/>
  <c r="E298" i="1" s="1"/>
  <c r="AL297" i="1"/>
  <c r="G297" i="1"/>
  <c r="D296" i="1"/>
  <c r="C297" i="1"/>
  <c r="D297" i="1" l="1"/>
  <c r="C298" i="1"/>
  <c r="AL298" i="1"/>
  <c r="I298" i="1"/>
  <c r="E299" i="1" s="1"/>
  <c r="G298" i="1"/>
  <c r="I299" i="1" l="1"/>
  <c r="E300" i="1" s="1"/>
  <c r="AL299" i="1"/>
  <c r="G299" i="1"/>
  <c r="C299" i="1"/>
  <c r="D298" i="1"/>
  <c r="C300" i="1" l="1"/>
  <c r="D299" i="1"/>
  <c r="I300" i="1"/>
  <c r="E301" i="1" s="1"/>
  <c r="G300" i="1"/>
  <c r="AL300" i="1"/>
  <c r="AL301" i="1" l="1"/>
  <c r="I301" i="1"/>
  <c r="G301" i="1"/>
  <c r="D300" i="1"/>
  <c r="C301" i="1"/>
  <c r="D30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Caullen Parker</author>
  </authors>
  <commentList>
    <comment ref="Q39" authorId="0" shapeId="0" xr:uid="{897770F9-0E05-4530-A46B-B60CC4E6A712}">
      <text>
        <r>
          <rPr>
            <b/>
            <sz val="9"/>
            <color indexed="81"/>
            <rFont val="Tahoma"/>
            <family val="2"/>
          </rPr>
          <t>Caullen Parker:</t>
        </r>
        <r>
          <rPr>
            <sz val="9"/>
            <color indexed="81"/>
            <rFont val="Tahoma"/>
            <family val="2"/>
          </rPr>
          <t xml:space="preserve">
Xmas week, probably won't trade</t>
        </r>
      </text>
    </comment>
    <comment ref="Q42" authorId="0" shapeId="0" xr:uid="{8BDD5664-AF66-4E6D-B5DE-EBE42A560DF5}">
      <text>
        <r>
          <rPr>
            <b/>
            <sz val="9"/>
            <color indexed="81"/>
            <rFont val="Tahoma"/>
            <family val="2"/>
          </rPr>
          <t>Caullen Parker:</t>
        </r>
        <r>
          <rPr>
            <sz val="9"/>
            <color indexed="81"/>
            <rFont val="Tahoma"/>
            <family val="2"/>
          </rPr>
          <t xml:space="preserve">
First loss after a 9 wk streek.. Not bad..
Got greedy in TLT calls on a run up to $88.66.. Thought it would keep going to $89
</t>
        </r>
      </text>
    </comment>
    <comment ref="C50" authorId="0" shapeId="0" xr:uid="{CB30E22A-1CA2-48B0-A9C7-D1EF119B0983}">
      <text>
        <r>
          <rPr>
            <b/>
            <sz val="9"/>
            <color indexed="81"/>
            <rFont val="Tahoma"/>
            <family val="2"/>
          </rPr>
          <t>Caullen Parker:</t>
        </r>
        <r>
          <rPr>
            <sz val="9"/>
            <color indexed="81"/>
            <rFont val="Tahoma"/>
            <family val="2"/>
          </rPr>
          <t xml:space="preserve">
Our wedding day :)</t>
        </r>
      </text>
    </comment>
  </commentList>
</comments>
</file>

<file path=xl/sharedStrings.xml><?xml version="1.0" encoding="utf-8"?>
<sst xmlns="http://schemas.openxmlformats.org/spreadsheetml/2006/main" count="106" uniqueCount="41">
  <si>
    <t>Budget</t>
  </si>
  <si>
    <t>Forecast</t>
  </si>
  <si>
    <t>Actual</t>
  </si>
  <si>
    <t>Variance</t>
  </si>
  <si>
    <t>Position Size</t>
  </si>
  <si>
    <t>Weeks</t>
  </si>
  <si>
    <t>WkSt Mon</t>
  </si>
  <si>
    <t>Year</t>
  </si>
  <si>
    <t>Start balance</t>
  </si>
  <si>
    <t>Gains $</t>
  </si>
  <si>
    <t>Gains %</t>
  </si>
  <si>
    <t>Deposits</t>
  </si>
  <si>
    <t>End balance</t>
  </si>
  <si>
    <t>Trend</t>
  </si>
  <si>
    <t>WinRate</t>
  </si>
  <si>
    <t>% of Balance</t>
  </si>
  <si>
    <t>% of Position</t>
  </si>
  <si>
    <t>Total Costs</t>
  </si>
  <si>
    <t># of Trades</t>
  </si>
  <si>
    <t>Aggressive Max</t>
  </si>
  <si>
    <t>Aggressive %</t>
  </si>
  <si>
    <t>Fees</t>
  </si>
  <si>
    <t>Comments</t>
  </si>
  <si>
    <t>LTD Losses</t>
  </si>
  <si>
    <t xml:space="preserve">- </t>
  </si>
  <si>
    <t>Total</t>
  </si>
  <si>
    <t>Current LTD Net Gains/Losses</t>
  </si>
  <si>
    <t>-</t>
  </si>
  <si>
    <t>- Previous sessions of TLT saw a massive rejection of the 92.27 level, entered 5 7DTE $89 Puts on Mon and exited on Wed</t>
  </si>
  <si>
    <t>- Similar to the previous week, saw consistent sell pressure and entered 5 8DTE $88.50 puts, held from Wed to Thurs</t>
  </si>
  <si>
    <t>- New years week, did not trade</t>
  </si>
  <si>
    <t>- Long calls in TLT and PATH, exited PATH first on Tues after a significant green day (entered the previous Frid), exited TLT at open on Wed open on a big gap up</t>
  </si>
  <si>
    <t>- Held overnight to a gap up on Thurs the 15th on TLT.. Held despite morning weakness and cut into gains made earlier in the week</t>
  </si>
  <si>
    <t>- Massively over positioned, taking this win as a gift from the trading Gods and stepping away for the week. Shorted TLT after a series of gap ups to Mon the 26th where weakness became evident. Got lucky on this one.. Old habbits die hard</t>
  </si>
  <si>
    <t>- Position size still too high but it was lower %wise than previous two weeks. TLT bottomed out around 86.50 and I saw a lot of Friday exp OI on 87.5 calls.. If I would've held unti l the end of the day I would've made around 4.5k</t>
  </si>
  <si>
    <t>- Super positioned into some SPY zero's, ended up working out but got lucky again. Added the 'aggressive max' field to help regulate how much my system will allow me to spend on aggressive positions</t>
  </si>
  <si>
    <t>- TLT had been strongly bullish since before last Friday's CPI release. Top candle was Friday which had an extremely high volume doji (anomoly). Next trading session was Tuesday (Presidents Day Monday) and also was a doji but low volume. Took 8dte puts one strike OTM and exited the following day.</t>
  </si>
  <si>
    <t>- Played massive short leading up into the war with Iran.. Got short squeezed out on Friday.. By Monday the price had tanked.. HUGE miss</t>
  </si>
  <si>
    <t>- Easy PATH play.. 12 month low with huge buy volume.. Went long over night</t>
  </si>
  <si>
    <t>- Wedding / honeymoon week!!! Will not trade…... OR I will trade… I would trade PATH earnings (long).. Was right about results, was wrong about direction. Before results posted I was massively up.. Should have played the gamma and got out</t>
  </si>
  <si>
    <t>- Played PATH earnings.. Long calls, was up significantly going into the event and then lost it all (some lessons take longer to learn)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</si>
</sst>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
  </numFmts>
  <fonts count="21" x14ac:knownFonts="1">
    <font>
      <sz val="11"/>
      <color theme="1"/>
      <name val="Aptos Narrow"/>
      <family val="2"/>
      <scheme val="minor"/>
    </font>
    <font>
      <sz val="11"/>
      <color theme="1"/>
      <name val="Aptos Narrow"/>
      <family val="2"/>
      <scheme val="minor"/>
    </font>
    <font>
      <sz val="11"/>
      <color theme="1"/>
      <name val="Calibri"/>
      <family val="2"/>
    </font>
    <font>
      <sz val="10"/>
      <color theme="1"/>
      <name val="Calibri"/>
      <family val="2"/>
    </font>
    <font>
      <b/>
      <sz val="12"/>
      <name val="Calibri"/>
      <family val="2"/>
    </font>
    <font>
      <sz val="12"/>
      <name val="Calibri"/>
      <family val="2"/>
    </font>
    <font>
      <b/>
      <sz val="10"/>
      <color rgb="FFFFFFFF"/>
      <name val="Calibri"/>
      <family val="2"/>
    </font>
    <font>
      <sz val="12"/>
      <color rgb="FF000000"/>
      <name val="Calibri"/>
      <family val="2"/>
    </font>
    <font>
      <sz val="12"/>
      <color rgb="FF00B050"/>
      <name val="Calibri"/>
      <family val="2"/>
    </font>
    <font>
      <sz val="10"/>
      <color rgb="FF000000"/>
      <name val="Calibri"/>
      <family val="2"/>
    </font>
    <font>
      <sz val="10"/>
      <color theme="4"/>
      <name val="Calibri"/>
      <family val="2"/>
    </font>
    <font>
      <sz val="10"/>
      <color rgb="FF00B050"/>
      <name val="Calibri"/>
      <family val="2"/>
    </font>
    <font>
      <sz val="12"/>
      <color rgb="FFC00000"/>
      <name val="Calibri"/>
      <family val="2"/>
    </font>
    <font>
      <sz val="11"/>
      <color theme="0"/>
      <name val="Calibri"/>
      <family val="2"/>
    </font>
    <font>
      <sz val="10"/>
      <color rgb="FFC00000"/>
      <name val="Calibri"/>
      <family val="2"/>
    </font>
    <font>
      <b/>
      <sz val="10"/>
      <color theme="1"/>
      <name val="Calibri"/>
      <family val="2"/>
    </font>
    <font>
      <i/>
      <sz val="10"/>
      <color theme="1"/>
      <name val="Calibri"/>
      <family val="2"/>
    </font>
    <font>
      <b/>
      <i/>
      <sz val="10"/>
      <color theme="1"/>
      <name val="Calibri"/>
      <family val="2"/>
    </font>
    <font>
      <sz val="10"/>
      <name val="Calibri"/>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rgb="FFFFFFFF"/>
        <bgColor indexed="64"/>
      </patternFill>
    </fill>
    <fill>
      <patternFill patternType="solid">
        <fgColor rgb="FFEEEEEE"/>
        <bgColor indexed="64"/>
      </patternFill>
    </fill>
    <fill>
      <patternFill patternType="solid">
        <fgColor rgb="FFFFFF00"/>
        <bgColor indexed="64"/>
      </patternFill>
    </fill>
    <fill>
      <patternFill patternType="solid">
        <fgColor theme="3" tint="0.89999084444715716"/>
        <bgColor indexed="64"/>
      </patternFill>
    </fill>
    <fill>
      <patternFill patternType="solid">
        <fgColor theme="0" tint="-0.249977111117893"/>
        <bgColor indexed="64"/>
      </patternFill>
    </fill>
  </fills>
  <borders count="36">
    <border>
      <left/>
      <right/>
      <top/>
      <bottom/>
      <diagonal/>
    </border>
    <border>
      <left style="medium">
        <color rgb="FF114477"/>
      </left>
      <right/>
      <top style="medium">
        <color rgb="FF114477"/>
      </top>
      <bottom style="medium">
        <color rgb="FF114477"/>
      </bottom>
      <diagonal/>
    </border>
    <border>
      <left/>
      <right/>
      <top style="medium">
        <color rgb="FF114477"/>
      </top>
      <bottom style="medium">
        <color rgb="FF114477"/>
      </bottom>
      <diagonal/>
    </border>
    <border>
      <left/>
      <right style="medium">
        <color rgb="FF114477"/>
      </right>
      <top style="medium">
        <color rgb="FF114477"/>
      </top>
      <bottom style="medium">
        <color rgb="FF114477"/>
      </bottom>
      <diagonal/>
    </border>
    <border>
      <left/>
      <right/>
      <top style="medium">
        <color rgb="FF114477"/>
      </top>
      <bottom/>
      <diagonal/>
    </border>
    <border>
      <left style="medium">
        <color rgb="FF114477"/>
      </left>
      <right style="medium">
        <color rgb="FF114477"/>
      </right>
      <top style="medium">
        <color rgb="FF114477"/>
      </top>
      <bottom style="medium">
        <color rgb="FF336699"/>
      </bottom>
      <diagonal/>
    </border>
    <border>
      <left style="medium">
        <color rgb="FF114477"/>
      </left>
      <right/>
      <top style="medium">
        <color rgb="FF114477"/>
      </top>
      <bottom style="medium">
        <color rgb="FF336699"/>
      </bottom>
      <diagonal/>
    </border>
    <border>
      <left style="thick">
        <color rgb="FF114477"/>
      </left>
      <right style="thick">
        <color rgb="FF114477"/>
      </right>
      <top style="thick">
        <color rgb="FF114477"/>
      </top>
      <bottom style="medium">
        <color rgb="FF336699"/>
      </bottom>
      <diagonal/>
    </border>
    <border>
      <left style="medium">
        <color indexed="64"/>
      </left>
      <right style="medium">
        <color rgb="FF114477"/>
      </right>
      <top style="medium">
        <color indexed="64"/>
      </top>
      <bottom style="medium">
        <color rgb="FF336699"/>
      </bottom>
      <diagonal/>
    </border>
    <border>
      <left style="medium">
        <color rgb="FF114477"/>
      </left>
      <right style="medium">
        <color indexed="64"/>
      </right>
      <top style="medium">
        <color indexed="64"/>
      </top>
      <bottom style="medium">
        <color rgb="FF336699"/>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thick">
        <color theme="4"/>
      </left>
      <right style="thick">
        <color theme="4"/>
      </right>
      <top/>
      <bottom style="medium">
        <color rgb="FFCCCCCC"/>
      </bottom>
      <diagonal/>
    </border>
    <border>
      <left/>
      <right/>
      <top/>
      <bottom style="medium">
        <color rgb="FFCCCCCC"/>
      </bottom>
      <diagonal/>
    </border>
    <border>
      <left style="medium">
        <color theme="2" tint="-9.9948118533890809E-2"/>
      </left>
      <right/>
      <top style="medium">
        <color rgb="FF336699"/>
      </top>
      <bottom style="medium">
        <color rgb="FFCCCCCC"/>
      </bottom>
      <diagonal/>
    </border>
    <border>
      <left style="medium">
        <color theme="2" tint="-9.9948118533890809E-2"/>
      </left>
      <right/>
      <top style="medium">
        <color rgb="FFCCCCCC"/>
      </top>
      <bottom style="medium">
        <color rgb="FFCCCCCC"/>
      </bottom>
      <diagonal/>
    </border>
    <border>
      <left/>
      <right/>
      <top style="medium">
        <color rgb="FF336699"/>
      </top>
      <bottom style="medium">
        <color rgb="FFCCCCCC"/>
      </bottom>
      <diagonal/>
    </border>
    <border>
      <left style="medium">
        <color indexed="64"/>
      </left>
      <right/>
      <top/>
      <bottom/>
      <diagonal/>
    </border>
    <border>
      <left/>
      <right style="medium">
        <color indexed="64"/>
      </right>
      <top/>
      <bottom/>
      <diagonal/>
    </border>
    <border>
      <left style="thick">
        <color theme="4"/>
      </left>
      <right style="thick">
        <color theme="4"/>
      </right>
      <top style="medium">
        <color rgb="FFCCCCCC"/>
      </top>
      <bottom style="medium">
        <color rgb="FFCCCCCC"/>
      </bottom>
      <diagonal/>
    </border>
    <border>
      <left/>
      <right/>
      <top style="medium">
        <color rgb="FFCCCCCC"/>
      </top>
      <bottom style="medium">
        <color rgb="FFCCCCCC"/>
      </bottom>
      <diagonal/>
    </border>
    <border>
      <left style="medium">
        <color indexed="64"/>
      </left>
      <right/>
      <top style="hair">
        <color auto="1"/>
      </top>
      <bottom style="medium">
        <color indexed="64"/>
      </bottom>
      <diagonal/>
    </border>
    <border>
      <left/>
      <right style="medium">
        <color indexed="64"/>
      </right>
      <top style="hair">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CCCCCC"/>
      </left>
      <right style="medium">
        <color rgb="FFCCCCCC"/>
      </right>
      <top style="medium">
        <color rgb="FFCCCCCC"/>
      </top>
      <bottom style="medium">
        <color auto="1"/>
      </bottom>
      <diagonal/>
    </border>
    <border>
      <left style="medium">
        <color rgb="FFCCCCCC"/>
      </left>
      <right/>
      <top style="medium">
        <color rgb="FFCCCCCC"/>
      </top>
      <bottom style="medium">
        <color auto="1"/>
      </bottom>
      <diagonal/>
    </border>
    <border>
      <left style="thick">
        <color theme="4"/>
      </left>
      <right style="thick">
        <color theme="4"/>
      </right>
      <top style="medium">
        <color rgb="FFCCCCCC"/>
      </top>
      <bottom style="medium">
        <color auto="1"/>
      </bottom>
      <diagonal/>
    </border>
    <border>
      <left/>
      <right/>
      <top style="medium">
        <color rgb="FFCCCCCC"/>
      </top>
      <bottom style="medium">
        <color auto="1"/>
      </bottom>
      <diagonal/>
    </border>
    <border>
      <left style="medium">
        <color theme="2" tint="-9.9948118533890809E-2"/>
      </left>
      <right/>
      <top style="medium">
        <color rgb="FFCCCCCC"/>
      </top>
      <bottom style="medium">
        <color auto="1"/>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medium">
        <color theme="2" tint="-9.9948118533890809E-2"/>
      </left>
      <right/>
      <top/>
      <bottom style="medium">
        <color rgb="FFCCCCCC"/>
      </bottom>
      <diagonal/>
    </border>
    <border>
      <left style="thick">
        <color theme="4"/>
      </left>
      <right style="thick">
        <color theme="4"/>
      </right>
      <top style="medium">
        <color rgb="FFCCCCCC"/>
      </top>
      <bottom style="thick">
        <color theme="4"/>
      </bottom>
      <diagonal/>
    </border>
  </borders>
  <cellStyleXfs count="2">
    <xf numFmtId="0" fontId="0" fillId="0" borderId="0"/>
    <xf numFmtId="43" fontId="1" fillId="0" borderId="0" applyFont="0" applyFill="0" applyBorder="0" applyAlignment="0" applyProtection="0"/>
  </cellStyleXfs>
  <cellXfs count="146">
    <xf numFmtId="0" fontId="0" fillId="0" borderId="0" xfId="0"/>
    <xf numFmtId="0" fontId="2" fillId="0" borderId="0" xfId="0" applyFont="1"/>
    <xf numFmtId="0" fontId="2" fillId="0" borderId="0" xfId="0" applyFont="1" applyAlignment="1">
      <alignment horizontal="center"/>
    </xf>
    <xf numFmtId="0" fontId="3" fillId="0" borderId="0" xfId="0" applyFont="1"/>
    <xf numFmtId="0" fontId="3" fillId="0" borderId="0" xfId="0" applyFont="1" applyAlignment="1">
      <alignment horizontal="left"/>
    </xf>
    <xf numFmtId="0" fontId="4" fillId="2" borderId="1" xfId="0" applyFont="1" applyFill="1" applyBorder="1" applyAlignment="1">
      <alignment horizontal="centerContinuous" vertical="center"/>
    </xf>
    <xf numFmtId="0" fontId="4" fillId="2" borderId="2" xfId="0" applyFont="1" applyFill="1" applyBorder="1" applyAlignment="1">
      <alignment horizontal="centerContinuous" vertical="center"/>
    </xf>
    <xf numFmtId="0" fontId="4" fillId="2" borderId="3" xfId="0" applyFont="1" applyFill="1" applyBorder="1" applyAlignment="1">
      <alignment horizontal="centerContinuous" vertical="center"/>
    </xf>
    <xf numFmtId="0" fontId="4" fillId="2" borderId="4" xfId="0" applyFont="1" applyFill="1" applyBorder="1" applyAlignment="1">
      <alignment horizontal="centerContinuous"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5" xfId="0" applyFont="1" applyFill="1" applyBorder="1" applyAlignment="1">
      <alignment horizontal="centerContinuous" vertical="center"/>
    </xf>
    <xf numFmtId="0" fontId="6" fillId="3" borderId="8" xfId="0" applyFont="1" applyFill="1" applyBorder="1" applyAlignment="1">
      <alignment horizontal="centerContinuous" vertical="center"/>
    </xf>
    <xf numFmtId="0" fontId="6" fillId="3" borderId="9" xfId="0" applyFont="1" applyFill="1" applyBorder="1" applyAlignment="1">
      <alignment horizontal="centerContinuous" vertical="center"/>
    </xf>
    <xf numFmtId="0" fontId="7" fillId="4" borderId="10" xfId="0" applyFont="1" applyFill="1" applyBorder="1" applyAlignment="1">
      <alignment horizontal="right" vertical="center"/>
    </xf>
    <xf numFmtId="14" fontId="7" fillId="4" borderId="10" xfId="0" applyNumberFormat="1" applyFont="1" applyFill="1" applyBorder="1" applyAlignment="1">
      <alignment horizontal="center" vertical="center"/>
    </xf>
    <xf numFmtId="0" fontId="7" fillId="4" borderId="10" xfId="0" applyFont="1" applyFill="1" applyBorder="1" applyAlignment="1">
      <alignment horizontal="center" vertical="center"/>
    </xf>
    <xf numFmtId="43" fontId="7" fillId="4" borderId="10" xfId="1" applyFont="1" applyFill="1" applyBorder="1" applyAlignment="1">
      <alignment horizontal="right" vertical="center"/>
    </xf>
    <xf numFmtId="164" fontId="7" fillId="4" borderId="10" xfId="1" applyNumberFormat="1" applyFont="1" applyFill="1" applyBorder="1" applyAlignment="1">
      <alignment horizontal="right" vertical="center"/>
    </xf>
    <xf numFmtId="43" fontId="7" fillId="4" borderId="11" xfId="1" applyFont="1" applyFill="1" applyBorder="1" applyAlignment="1">
      <alignment horizontal="right" vertical="center"/>
    </xf>
    <xf numFmtId="43" fontId="8" fillId="4" borderId="12" xfId="1" applyFont="1" applyFill="1" applyBorder="1" applyAlignment="1">
      <alignment horizontal="right" vertical="center"/>
    </xf>
    <xf numFmtId="164" fontId="8" fillId="4" borderId="13" xfId="1" applyNumberFormat="1" applyFont="1" applyFill="1" applyBorder="1" applyAlignment="1">
      <alignment horizontal="right" vertical="center"/>
    </xf>
    <xf numFmtId="43" fontId="5" fillId="4" borderId="10" xfId="1" applyFont="1" applyFill="1" applyBorder="1" applyAlignment="1">
      <alignment horizontal="right" vertical="center"/>
    </xf>
    <xf numFmtId="164" fontId="9" fillId="4" borderId="14" xfId="1" applyNumberFormat="1" applyFont="1" applyFill="1" applyBorder="1" applyAlignment="1">
      <alignment horizontal="center" vertical="center"/>
    </xf>
    <xf numFmtId="43" fontId="10" fillId="4" borderId="14" xfId="1" applyFont="1" applyFill="1" applyBorder="1" applyAlignment="1">
      <alignment horizontal="center" vertical="center"/>
    </xf>
    <xf numFmtId="43" fontId="9" fillId="4" borderId="14" xfId="1" applyFont="1" applyFill="1" applyBorder="1" applyAlignment="1">
      <alignment horizontal="center" vertical="center"/>
    </xf>
    <xf numFmtId="9" fontId="9" fillId="4" borderId="14" xfId="1" applyNumberFormat="1" applyFont="1" applyFill="1" applyBorder="1" applyAlignment="1">
      <alignment horizontal="center" vertical="center"/>
    </xf>
    <xf numFmtId="43" fontId="9" fillId="0" borderId="15" xfId="1" quotePrefix="1" applyFont="1" applyFill="1" applyBorder="1" applyAlignment="1">
      <alignment horizontal="left" vertical="center"/>
    </xf>
    <xf numFmtId="43" fontId="11" fillId="4" borderId="16" xfId="1" applyFont="1" applyFill="1" applyBorder="1" applyAlignment="1">
      <alignment horizontal="right" vertical="center"/>
    </xf>
    <xf numFmtId="0" fontId="3" fillId="0" borderId="17" xfId="0" applyFont="1" applyBorder="1" applyAlignment="1">
      <alignment horizontal="left" indent="1"/>
    </xf>
    <xf numFmtId="43" fontId="3" fillId="0" borderId="18" xfId="1" applyFont="1" applyBorder="1"/>
    <xf numFmtId="43" fontId="3" fillId="0" borderId="0" xfId="0" applyNumberFormat="1" applyFont="1"/>
    <xf numFmtId="0" fontId="7" fillId="5" borderId="10" xfId="0" applyFont="1" applyFill="1" applyBorder="1" applyAlignment="1">
      <alignment horizontal="right" vertical="center"/>
    </xf>
    <xf numFmtId="14" fontId="7" fillId="5" borderId="10" xfId="0" applyNumberFormat="1" applyFont="1" applyFill="1" applyBorder="1" applyAlignment="1">
      <alignment horizontal="center" vertical="center"/>
    </xf>
    <xf numFmtId="0" fontId="7" fillId="5" borderId="10" xfId="0" applyFont="1" applyFill="1" applyBorder="1" applyAlignment="1">
      <alignment horizontal="center" vertical="center"/>
    </xf>
    <xf numFmtId="43" fontId="7" fillId="5" borderId="10" xfId="1" applyFont="1" applyFill="1" applyBorder="1" applyAlignment="1">
      <alignment horizontal="right" vertical="center"/>
    </xf>
    <xf numFmtId="164" fontId="7" fillId="5" borderId="10" xfId="1" applyNumberFormat="1" applyFont="1" applyFill="1" applyBorder="1" applyAlignment="1">
      <alignment horizontal="right" vertical="center"/>
    </xf>
    <xf numFmtId="43" fontId="7" fillId="5" borderId="11" xfId="1" applyFont="1" applyFill="1" applyBorder="1" applyAlignment="1">
      <alignment horizontal="right" vertical="center"/>
    </xf>
    <xf numFmtId="43" fontId="12" fillId="5" borderId="19" xfId="1" applyFont="1" applyFill="1" applyBorder="1" applyAlignment="1">
      <alignment horizontal="right" vertical="center"/>
    </xf>
    <xf numFmtId="164" fontId="12" fillId="5" borderId="20" xfId="1" applyNumberFormat="1" applyFont="1" applyFill="1" applyBorder="1" applyAlignment="1">
      <alignment horizontal="right" vertical="center"/>
    </xf>
    <xf numFmtId="0" fontId="13" fillId="0" borderId="0" xfId="0" applyFont="1"/>
    <xf numFmtId="164" fontId="9" fillId="5" borderId="15" xfId="1" applyNumberFormat="1" applyFont="1" applyFill="1" applyBorder="1" applyAlignment="1">
      <alignment horizontal="center" vertical="center"/>
    </xf>
    <xf numFmtId="43" fontId="10" fillId="5" borderId="15" xfId="1" applyFont="1" applyFill="1" applyBorder="1" applyAlignment="1">
      <alignment horizontal="center" vertical="center"/>
    </xf>
    <xf numFmtId="43" fontId="9" fillId="5" borderId="15" xfId="1" applyFont="1" applyFill="1" applyBorder="1" applyAlignment="1">
      <alignment horizontal="center" vertical="center"/>
    </xf>
    <xf numFmtId="9" fontId="9" fillId="5" borderId="15" xfId="1" applyNumberFormat="1" applyFont="1" applyFill="1" applyBorder="1" applyAlignment="1">
      <alignment horizontal="center" vertical="center"/>
    </xf>
    <xf numFmtId="43" fontId="9" fillId="5" borderId="15" xfId="1" quotePrefix="1" applyFont="1" applyFill="1" applyBorder="1" applyAlignment="1">
      <alignment horizontal="left" vertical="center"/>
    </xf>
    <xf numFmtId="43" fontId="14" fillId="5" borderId="20" xfId="1" applyFont="1" applyFill="1" applyBorder="1" applyAlignment="1">
      <alignment horizontal="right" vertical="center"/>
    </xf>
    <xf numFmtId="43" fontId="3" fillId="0" borderId="0" xfId="1" applyFont="1"/>
    <xf numFmtId="43" fontId="12" fillId="4" borderId="19" xfId="1" applyFont="1" applyFill="1" applyBorder="1" applyAlignment="1">
      <alignment horizontal="right" vertical="center"/>
    </xf>
    <xf numFmtId="164" fontId="5" fillId="4" borderId="10" xfId="1" applyNumberFormat="1" applyFont="1" applyFill="1" applyBorder="1" applyAlignment="1">
      <alignment horizontal="right" vertical="center"/>
    </xf>
    <xf numFmtId="164" fontId="9" fillId="4" borderId="15" xfId="1" applyNumberFormat="1" applyFont="1" applyFill="1" applyBorder="1" applyAlignment="1">
      <alignment horizontal="center" vertical="center"/>
    </xf>
    <xf numFmtId="43" fontId="10" fillId="4" borderId="15" xfId="1" applyFont="1" applyFill="1" applyBorder="1" applyAlignment="1">
      <alignment horizontal="center" vertical="center"/>
    </xf>
    <xf numFmtId="43" fontId="9" fillId="4" borderId="15" xfId="1" applyFont="1" applyFill="1" applyBorder="1" applyAlignment="1">
      <alignment horizontal="center" vertical="center"/>
    </xf>
    <xf numFmtId="9" fontId="9" fillId="4" borderId="15" xfId="1" applyNumberFormat="1" applyFont="1" applyFill="1" applyBorder="1" applyAlignment="1">
      <alignment horizontal="center" vertical="center"/>
    </xf>
    <xf numFmtId="43" fontId="14" fillId="4" borderId="20" xfId="1" applyFont="1" applyFill="1" applyBorder="1" applyAlignment="1">
      <alignment horizontal="right" vertical="center"/>
    </xf>
    <xf numFmtId="43" fontId="7" fillId="5" borderId="19" xfId="1" applyFont="1" applyFill="1" applyBorder="1" applyAlignment="1">
      <alignment horizontal="right" vertical="center"/>
    </xf>
    <xf numFmtId="0" fontId="15" fillId="0" borderId="21" xfId="0" applyFont="1" applyBorder="1"/>
    <xf numFmtId="43" fontId="15" fillId="0" borderId="22" xfId="1" applyFont="1" applyBorder="1"/>
    <xf numFmtId="43" fontId="7" fillId="4" borderId="19" xfId="1" applyFont="1" applyFill="1" applyBorder="1" applyAlignment="1">
      <alignment horizontal="right" vertical="center"/>
    </xf>
    <xf numFmtId="0" fontId="15" fillId="0" borderId="23" xfId="0" applyFont="1" applyBorder="1"/>
    <xf numFmtId="43" fontId="15" fillId="0" borderId="24" xfId="0" applyNumberFormat="1" applyFont="1" applyBorder="1"/>
    <xf numFmtId="43" fontId="8" fillId="4" borderId="19" xfId="1" applyFont="1" applyFill="1" applyBorder="1" applyAlignment="1">
      <alignment horizontal="right" vertical="center"/>
    </xf>
    <xf numFmtId="0" fontId="16" fillId="0" borderId="25" xfId="0" applyFont="1" applyBorder="1" applyAlignment="1">
      <alignment horizontal="left" indent="1"/>
    </xf>
    <xf numFmtId="43" fontId="17" fillId="0" borderId="26" xfId="0" applyNumberFormat="1" applyFont="1" applyBorder="1"/>
    <xf numFmtId="43" fontId="8" fillId="5" borderId="19" xfId="1" applyFont="1" applyFill="1" applyBorder="1" applyAlignment="1">
      <alignment horizontal="right" vertical="center"/>
    </xf>
    <xf numFmtId="10" fontId="3" fillId="0" borderId="0" xfId="0" applyNumberFormat="1" applyFont="1"/>
    <xf numFmtId="9" fontId="3" fillId="0" borderId="0" xfId="0" applyNumberFormat="1" applyFont="1"/>
    <xf numFmtId="164" fontId="9" fillId="0" borderId="15" xfId="1" applyNumberFormat="1" applyFont="1" applyFill="1" applyBorder="1" applyAlignment="1">
      <alignment horizontal="center" vertical="center"/>
    </xf>
    <xf numFmtId="43" fontId="10" fillId="0" borderId="15" xfId="1" applyFont="1" applyFill="1" applyBorder="1" applyAlignment="1">
      <alignment horizontal="center" vertical="center"/>
    </xf>
    <xf numFmtId="43" fontId="9" fillId="0" borderId="15" xfId="1" applyFont="1" applyFill="1" applyBorder="1" applyAlignment="1">
      <alignment horizontal="center" vertical="center"/>
    </xf>
    <xf numFmtId="9" fontId="9" fillId="0" borderId="15" xfId="1" applyNumberFormat="1" applyFont="1" applyFill="1" applyBorder="1" applyAlignment="1">
      <alignment horizontal="center" vertical="center"/>
    </xf>
    <xf numFmtId="0" fontId="7" fillId="4" borderId="27" xfId="0" applyFont="1" applyFill="1" applyBorder="1" applyAlignment="1">
      <alignment horizontal="right" vertical="center"/>
    </xf>
    <xf numFmtId="14" fontId="7" fillId="4" borderId="27" xfId="0" applyNumberFormat="1" applyFont="1" applyFill="1" applyBorder="1" applyAlignment="1">
      <alignment horizontal="center" vertical="center"/>
    </xf>
    <xf numFmtId="0" fontId="7" fillId="4" borderId="27" xfId="0" applyFont="1" applyFill="1" applyBorder="1" applyAlignment="1">
      <alignment horizontal="center" vertical="center"/>
    </xf>
    <xf numFmtId="43" fontId="7" fillId="4" borderId="27" xfId="1" applyFont="1" applyFill="1" applyBorder="1" applyAlignment="1">
      <alignment horizontal="right" vertical="center"/>
    </xf>
    <xf numFmtId="164" fontId="7" fillId="4" borderId="27" xfId="1" applyNumberFormat="1" applyFont="1" applyFill="1" applyBorder="1" applyAlignment="1">
      <alignment horizontal="right" vertical="center"/>
    </xf>
    <xf numFmtId="43" fontId="7" fillId="4" borderId="28" xfId="1" applyFont="1" applyFill="1" applyBorder="1" applyAlignment="1">
      <alignment horizontal="right" vertical="center"/>
    </xf>
    <xf numFmtId="43" fontId="7" fillId="4" borderId="29" xfId="1" applyFont="1" applyFill="1" applyBorder="1" applyAlignment="1">
      <alignment horizontal="right" vertical="center"/>
    </xf>
    <xf numFmtId="164" fontId="8" fillId="4" borderId="30" xfId="1" applyNumberFormat="1" applyFont="1" applyFill="1" applyBorder="1" applyAlignment="1">
      <alignment horizontal="right" vertical="center"/>
    </xf>
    <xf numFmtId="43" fontId="5" fillId="4" borderId="27" xfId="1" applyFont="1" applyFill="1" applyBorder="1" applyAlignment="1">
      <alignment horizontal="right" vertical="center"/>
    </xf>
    <xf numFmtId="164" fontId="5" fillId="4" borderId="27" xfId="1" applyNumberFormat="1" applyFont="1" applyFill="1" applyBorder="1" applyAlignment="1">
      <alignment horizontal="right" vertical="center"/>
    </xf>
    <xf numFmtId="164" fontId="9" fillId="0" borderId="31" xfId="1" applyNumberFormat="1" applyFont="1" applyFill="1" applyBorder="1" applyAlignment="1">
      <alignment horizontal="center" vertical="center"/>
    </xf>
    <xf numFmtId="43" fontId="10" fillId="0" borderId="31" xfId="1" applyFont="1" applyFill="1" applyBorder="1" applyAlignment="1">
      <alignment horizontal="center" vertical="center"/>
    </xf>
    <xf numFmtId="43" fontId="9" fillId="0" borderId="31" xfId="1" applyFont="1" applyFill="1" applyBorder="1" applyAlignment="1">
      <alignment horizontal="center" vertical="center"/>
    </xf>
    <xf numFmtId="9" fontId="9" fillId="0" borderId="31" xfId="1" applyNumberFormat="1" applyFont="1" applyFill="1" applyBorder="1" applyAlignment="1">
      <alignment horizontal="center" vertical="center"/>
    </xf>
    <xf numFmtId="43" fontId="18" fillId="4" borderId="31" xfId="1" quotePrefix="1" applyFont="1" applyFill="1" applyBorder="1" applyAlignment="1">
      <alignment horizontal="left" vertical="center"/>
    </xf>
    <xf numFmtId="43" fontId="9" fillId="4" borderId="30" xfId="1" applyFont="1" applyFill="1" applyBorder="1" applyAlignment="1">
      <alignment horizontal="right" vertical="center"/>
    </xf>
    <xf numFmtId="0" fontId="7" fillId="5" borderId="32" xfId="0" applyFont="1" applyFill="1" applyBorder="1" applyAlignment="1">
      <alignment horizontal="right" vertical="center"/>
    </xf>
    <xf numFmtId="14" fontId="7" fillId="5" borderId="32" xfId="0" applyNumberFormat="1" applyFont="1" applyFill="1" applyBorder="1" applyAlignment="1">
      <alignment horizontal="center" vertical="center"/>
    </xf>
    <xf numFmtId="0" fontId="7" fillId="5" borderId="32" xfId="0" applyFont="1" applyFill="1" applyBorder="1" applyAlignment="1">
      <alignment horizontal="center" vertical="center"/>
    </xf>
    <xf numFmtId="43" fontId="7" fillId="5" borderId="32" xfId="1" applyFont="1" applyFill="1" applyBorder="1" applyAlignment="1">
      <alignment horizontal="right" vertical="center"/>
    </xf>
    <xf numFmtId="164" fontId="7" fillId="5" borderId="32" xfId="1" applyNumberFormat="1" applyFont="1" applyFill="1" applyBorder="1" applyAlignment="1">
      <alignment horizontal="right" vertical="center"/>
    </xf>
    <xf numFmtId="43" fontId="7" fillId="5" borderId="33" xfId="1" applyFont="1" applyFill="1" applyBorder="1" applyAlignment="1">
      <alignment horizontal="right" vertical="center"/>
    </xf>
    <xf numFmtId="43" fontId="7" fillId="5" borderId="12" xfId="1" applyFont="1" applyFill="1" applyBorder="1" applyAlignment="1">
      <alignment horizontal="right" vertical="center"/>
    </xf>
    <xf numFmtId="164" fontId="12" fillId="5" borderId="13" xfId="1" applyNumberFormat="1" applyFont="1" applyFill="1" applyBorder="1" applyAlignment="1">
      <alignment horizontal="right" vertical="center"/>
    </xf>
    <xf numFmtId="164" fontId="9" fillId="5" borderId="34" xfId="1" applyNumberFormat="1" applyFont="1" applyFill="1" applyBorder="1" applyAlignment="1">
      <alignment horizontal="center" vertical="center"/>
    </xf>
    <xf numFmtId="43" fontId="10" fillId="5" borderId="34" xfId="1" applyFont="1" applyFill="1" applyBorder="1" applyAlignment="1">
      <alignment horizontal="center" vertical="center"/>
    </xf>
    <xf numFmtId="43" fontId="9" fillId="5" borderId="34" xfId="1" applyFont="1" applyFill="1" applyBorder="1" applyAlignment="1">
      <alignment horizontal="center" vertical="center"/>
    </xf>
    <xf numFmtId="9" fontId="9" fillId="5" borderId="34" xfId="1" applyNumberFormat="1" applyFont="1" applyFill="1" applyBorder="1" applyAlignment="1">
      <alignment horizontal="center" vertical="center"/>
    </xf>
    <xf numFmtId="43" fontId="9" fillId="5" borderId="34" xfId="1" quotePrefix="1" applyFont="1" applyFill="1" applyBorder="1" applyAlignment="1">
      <alignment horizontal="left" vertical="center"/>
    </xf>
    <xf numFmtId="43" fontId="9" fillId="5" borderId="13" xfId="1" applyFont="1" applyFill="1" applyBorder="1" applyAlignment="1">
      <alignment horizontal="right" vertical="center"/>
    </xf>
    <xf numFmtId="164" fontId="3" fillId="0" borderId="0" xfId="0" applyNumberFormat="1" applyFont="1"/>
    <xf numFmtId="43" fontId="9" fillId="4" borderId="15" xfId="1" quotePrefix="1" applyFont="1" applyFill="1" applyBorder="1" applyAlignment="1">
      <alignment horizontal="left" vertical="center"/>
    </xf>
    <xf numFmtId="43" fontId="9" fillId="4" borderId="20" xfId="1" applyFont="1" applyFill="1" applyBorder="1" applyAlignment="1">
      <alignment horizontal="right" vertical="center"/>
    </xf>
    <xf numFmtId="14" fontId="7" fillId="6" borderId="10" xfId="0" applyNumberFormat="1" applyFont="1" applyFill="1" applyBorder="1" applyAlignment="1">
      <alignment horizontal="center" vertical="center"/>
    </xf>
    <xf numFmtId="0" fontId="13" fillId="7" borderId="0" xfId="0" applyFont="1" applyFill="1"/>
    <xf numFmtId="164" fontId="9" fillId="4" borderId="31" xfId="1" applyNumberFormat="1" applyFont="1" applyFill="1" applyBorder="1" applyAlignment="1">
      <alignment horizontal="center" vertical="center"/>
    </xf>
    <xf numFmtId="43" fontId="10" fillId="4" borderId="31" xfId="1" applyFont="1" applyFill="1" applyBorder="1" applyAlignment="1">
      <alignment horizontal="center" vertical="center"/>
    </xf>
    <xf numFmtId="43" fontId="9" fillId="4" borderId="31" xfId="1" applyFont="1" applyFill="1" applyBorder="1" applyAlignment="1">
      <alignment horizontal="center" vertical="center"/>
    </xf>
    <xf numFmtId="9" fontId="9" fillId="4" borderId="31" xfId="1" applyNumberFormat="1" applyFont="1" applyFill="1" applyBorder="1" applyAlignment="1">
      <alignment horizontal="center" vertical="center"/>
    </xf>
    <xf numFmtId="43" fontId="9" fillId="0" borderId="31" xfId="1" quotePrefix="1" applyFont="1" applyFill="1" applyBorder="1" applyAlignment="1">
      <alignment horizontal="left" vertical="center"/>
    </xf>
    <xf numFmtId="43" fontId="14" fillId="4" borderId="30" xfId="1" applyFont="1" applyFill="1" applyBorder="1" applyAlignment="1">
      <alignment horizontal="right" vertical="center"/>
    </xf>
    <xf numFmtId="43" fontId="14" fillId="5" borderId="13" xfId="1" applyFont="1" applyFill="1" applyBorder="1" applyAlignment="1">
      <alignment horizontal="right" vertical="center"/>
    </xf>
    <xf numFmtId="165" fontId="3" fillId="0" borderId="0" xfId="0" applyNumberFormat="1" applyFont="1"/>
    <xf numFmtId="0" fontId="2" fillId="6" borderId="0" xfId="0" applyFont="1" applyFill="1"/>
    <xf numFmtId="0" fontId="7" fillId="5" borderId="27" xfId="0" applyFont="1" applyFill="1" applyBorder="1" applyAlignment="1">
      <alignment horizontal="right" vertical="center"/>
    </xf>
    <xf numFmtId="14" fontId="7" fillId="5" borderId="27" xfId="0" applyNumberFormat="1" applyFont="1" applyFill="1" applyBorder="1" applyAlignment="1">
      <alignment horizontal="center" vertical="center"/>
    </xf>
    <xf numFmtId="0" fontId="7" fillId="5" borderId="27" xfId="0" applyFont="1" applyFill="1" applyBorder="1" applyAlignment="1">
      <alignment horizontal="center" vertical="center"/>
    </xf>
    <xf numFmtId="43" fontId="7" fillId="5" borderId="27" xfId="1" applyFont="1" applyFill="1" applyBorder="1" applyAlignment="1">
      <alignment horizontal="right" vertical="center"/>
    </xf>
    <xf numFmtId="164" fontId="7" fillId="5" borderId="27" xfId="1" applyNumberFormat="1" applyFont="1" applyFill="1" applyBorder="1" applyAlignment="1">
      <alignment horizontal="right" vertical="center"/>
    </xf>
    <xf numFmtId="43" fontId="7" fillId="5" borderId="28" xfId="1" applyFont="1" applyFill="1" applyBorder="1" applyAlignment="1">
      <alignment horizontal="right" vertical="center"/>
    </xf>
    <xf numFmtId="43" fontId="7" fillId="5" borderId="29" xfId="1" applyFont="1" applyFill="1" applyBorder="1" applyAlignment="1">
      <alignment horizontal="right" vertical="center"/>
    </xf>
    <xf numFmtId="164" fontId="12" fillId="5" borderId="30" xfId="1" applyNumberFormat="1" applyFont="1" applyFill="1" applyBorder="1" applyAlignment="1">
      <alignment horizontal="right" vertical="center"/>
    </xf>
    <xf numFmtId="164" fontId="9" fillId="5" borderId="31" xfId="1" applyNumberFormat="1" applyFont="1" applyFill="1" applyBorder="1" applyAlignment="1">
      <alignment horizontal="center" vertical="center"/>
    </xf>
    <xf numFmtId="43" fontId="10" fillId="5" borderId="31" xfId="1" applyFont="1" applyFill="1" applyBorder="1" applyAlignment="1">
      <alignment horizontal="center" vertical="center"/>
    </xf>
    <xf numFmtId="43" fontId="9" fillId="5" borderId="31" xfId="1" applyFont="1" applyFill="1" applyBorder="1" applyAlignment="1">
      <alignment horizontal="center" vertical="center"/>
    </xf>
    <xf numFmtId="9" fontId="9" fillId="5" borderId="31" xfId="1" applyNumberFormat="1" applyFont="1" applyFill="1" applyBorder="1" applyAlignment="1">
      <alignment horizontal="center" vertical="center"/>
    </xf>
    <xf numFmtId="43" fontId="9" fillId="5" borderId="31" xfId="1" quotePrefix="1" applyFont="1" applyFill="1" applyBorder="1" applyAlignment="1">
      <alignment horizontal="left" vertical="center"/>
    </xf>
    <xf numFmtId="43" fontId="14" fillId="5" borderId="30" xfId="1" applyFont="1" applyFill="1" applyBorder="1" applyAlignment="1">
      <alignment horizontal="right" vertical="center"/>
    </xf>
    <xf numFmtId="0" fontId="7" fillId="4" borderId="32" xfId="0" applyFont="1" applyFill="1" applyBorder="1" applyAlignment="1">
      <alignment horizontal="right" vertical="center"/>
    </xf>
    <xf numFmtId="14" fontId="7" fillId="4" borderId="32" xfId="0" applyNumberFormat="1" applyFont="1" applyFill="1" applyBorder="1" applyAlignment="1">
      <alignment horizontal="center" vertical="center"/>
    </xf>
    <xf numFmtId="0" fontId="7" fillId="4" borderId="32" xfId="0" applyFont="1" applyFill="1" applyBorder="1" applyAlignment="1">
      <alignment horizontal="center" vertical="center"/>
    </xf>
    <xf numFmtId="43" fontId="7" fillId="4" borderId="32" xfId="1" applyFont="1" applyFill="1" applyBorder="1" applyAlignment="1">
      <alignment horizontal="right" vertical="center"/>
    </xf>
    <xf numFmtId="164" fontId="7" fillId="4" borderId="32" xfId="1" applyNumberFormat="1" applyFont="1" applyFill="1" applyBorder="1" applyAlignment="1">
      <alignment horizontal="right" vertical="center"/>
    </xf>
    <xf numFmtId="43" fontId="7" fillId="4" borderId="33" xfId="1" applyFont="1" applyFill="1" applyBorder="1" applyAlignment="1">
      <alignment horizontal="right" vertical="center"/>
    </xf>
    <xf numFmtId="43" fontId="7" fillId="4" borderId="12" xfId="1" applyFont="1" applyFill="1" applyBorder="1" applyAlignment="1">
      <alignment horizontal="right" vertical="center"/>
    </xf>
    <xf numFmtId="43" fontId="5" fillId="4" borderId="32" xfId="1" applyFont="1" applyFill="1" applyBorder="1" applyAlignment="1">
      <alignment horizontal="right" vertical="center"/>
    </xf>
    <xf numFmtId="164" fontId="9" fillId="4" borderId="34" xfId="1" applyNumberFormat="1" applyFont="1" applyFill="1" applyBorder="1" applyAlignment="1">
      <alignment horizontal="center" vertical="center"/>
    </xf>
    <xf numFmtId="43" fontId="10" fillId="4" borderId="34" xfId="1" applyFont="1" applyFill="1" applyBorder="1" applyAlignment="1">
      <alignment horizontal="center" vertical="center"/>
    </xf>
    <xf numFmtId="43" fontId="9" fillId="4" borderId="34" xfId="1" applyFont="1" applyFill="1" applyBorder="1" applyAlignment="1">
      <alignment horizontal="center" vertical="center"/>
    </xf>
    <xf numFmtId="9" fontId="9" fillId="4" borderId="34" xfId="1" applyNumberFormat="1" applyFont="1" applyFill="1" applyBorder="1" applyAlignment="1">
      <alignment horizontal="center" vertical="center"/>
    </xf>
    <xf numFmtId="43" fontId="9" fillId="0" borderId="34" xfId="1" quotePrefix="1" applyFont="1" applyFill="1" applyBorder="1" applyAlignment="1">
      <alignment horizontal="left" vertical="center"/>
    </xf>
    <xf numFmtId="43" fontId="14" fillId="4" borderId="13" xfId="1" applyFont="1" applyFill="1" applyBorder="1" applyAlignment="1">
      <alignment horizontal="right" vertical="center"/>
    </xf>
    <xf numFmtId="43" fontId="7" fillId="5" borderId="35" xfId="1" applyFont="1" applyFill="1" applyBorder="1" applyAlignment="1">
      <alignment horizontal="right" vertical="center"/>
    </xf>
    <xf numFmtId="0" fontId="0" fillId="8" borderId="0" xfId="0" applyFill="1"/>
  </cellXfs>
  <cellStyles count="2">
    <cellStyle name="Comma" xfId="1" builtinId="3"/>
    <cellStyle name="Normal" xfId="0" builtinId="0"/>
  </cellStyles>
  <dxfs count="9">
    <dxf>
      <font>
        <color rgb="FF00B050"/>
      </font>
    </dxf>
    <dxf>
      <font>
        <color rgb="FF9C0006"/>
      </font>
    </dxf>
    <dxf>
      <font>
        <color rgb="FF00B050"/>
      </font>
    </dxf>
    <dxf>
      <font>
        <color rgb="FF9C0006"/>
      </font>
    </dxf>
    <dxf>
      <font>
        <color rgb="FF00B050"/>
      </font>
    </dxf>
    <dxf>
      <font>
        <color rgb="FF9C0006"/>
      </font>
    </dxf>
    <dxf>
      <font>
        <color rgb="FFFFFF00"/>
      </font>
      <fill>
        <patternFill>
          <bgColor rgb="FFFFFF00"/>
        </patternFill>
      </fill>
    </dxf>
    <dxf>
      <font>
        <color rgb="FF00B050"/>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2400" b="1">
                <a:solidFill>
                  <a:schemeClr val="bg1">
                    <a:lumMod val="50000"/>
                  </a:schemeClr>
                </a:solidFill>
              </a:rPr>
              <a:t>Options Balance from 04.2025</a:t>
            </a:r>
            <a:r>
              <a:rPr lang="en-US" sz="2400" b="1" baseline="0">
                <a:solidFill>
                  <a:schemeClr val="bg1">
                    <a:lumMod val="50000"/>
                  </a:schemeClr>
                </a:solidFill>
              </a:rPr>
              <a:t> thru 12.2026</a:t>
            </a:r>
            <a:endParaRPr lang="en-US" sz="2400"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4"/>
          <c:order val="4"/>
          <c:tx>
            <c:v>Budget</c:v>
          </c:tx>
          <c:spPr>
            <a:solidFill>
              <a:schemeClr val="accent1">
                <a:lumMod val="75000"/>
              </a:schemeClr>
            </a:solidFill>
            <a:ln w="34925" cap="flat" cmpd="sng" algn="ctr">
              <a:solidFill>
                <a:schemeClr val="accent1">
                  <a:lumMod val="20000"/>
                  <a:lumOff val="80000"/>
                </a:schemeClr>
              </a:solidFill>
              <a:round/>
            </a:ln>
            <a:effectLst/>
          </c:spPr>
          <c:invertIfNegative val="0"/>
          <c:cat>
            <c:numRef>
              <c:f>Options!$C$4:$C$144</c:f>
              <c:numCache>
                <c:formatCode>m/d/yyyy</c:formatCode>
                <c:ptCount val="141"/>
                <c:pt idx="0">
                  <c:v>45768</c:v>
                </c:pt>
                <c:pt idx="1">
                  <c:v>45775</c:v>
                </c:pt>
                <c:pt idx="2">
                  <c:v>45782</c:v>
                </c:pt>
                <c:pt idx="3">
                  <c:v>45789</c:v>
                </c:pt>
                <c:pt idx="4">
                  <c:v>45796</c:v>
                </c:pt>
                <c:pt idx="5">
                  <c:v>45803</c:v>
                </c:pt>
                <c:pt idx="6">
                  <c:v>45810</c:v>
                </c:pt>
                <c:pt idx="7">
                  <c:v>45817</c:v>
                </c:pt>
                <c:pt idx="8">
                  <c:v>45824</c:v>
                </c:pt>
                <c:pt idx="9">
                  <c:v>45831</c:v>
                </c:pt>
                <c:pt idx="10">
                  <c:v>45838</c:v>
                </c:pt>
                <c:pt idx="11">
                  <c:v>45845</c:v>
                </c:pt>
                <c:pt idx="12">
                  <c:v>45852</c:v>
                </c:pt>
                <c:pt idx="13">
                  <c:v>45859</c:v>
                </c:pt>
                <c:pt idx="14">
                  <c:v>45866</c:v>
                </c:pt>
                <c:pt idx="15">
                  <c:v>45873</c:v>
                </c:pt>
                <c:pt idx="16">
                  <c:v>45880</c:v>
                </c:pt>
                <c:pt idx="17">
                  <c:v>45887</c:v>
                </c:pt>
                <c:pt idx="18">
                  <c:v>45894</c:v>
                </c:pt>
                <c:pt idx="19">
                  <c:v>45901</c:v>
                </c:pt>
                <c:pt idx="20">
                  <c:v>45908</c:v>
                </c:pt>
                <c:pt idx="21">
                  <c:v>45915</c:v>
                </c:pt>
                <c:pt idx="22">
                  <c:v>45922</c:v>
                </c:pt>
                <c:pt idx="23">
                  <c:v>45929</c:v>
                </c:pt>
                <c:pt idx="24">
                  <c:v>45936</c:v>
                </c:pt>
                <c:pt idx="25">
                  <c:v>45943</c:v>
                </c:pt>
                <c:pt idx="26">
                  <c:v>45950</c:v>
                </c:pt>
                <c:pt idx="27">
                  <c:v>45957</c:v>
                </c:pt>
                <c:pt idx="28">
                  <c:v>45964</c:v>
                </c:pt>
                <c:pt idx="29">
                  <c:v>45971</c:v>
                </c:pt>
                <c:pt idx="30">
                  <c:v>45978</c:v>
                </c:pt>
                <c:pt idx="31">
                  <c:v>45985</c:v>
                </c:pt>
                <c:pt idx="32">
                  <c:v>45992</c:v>
                </c:pt>
                <c:pt idx="33">
                  <c:v>45999</c:v>
                </c:pt>
                <c:pt idx="34">
                  <c:v>46006</c:v>
                </c:pt>
                <c:pt idx="35">
                  <c:v>46013</c:v>
                </c:pt>
                <c:pt idx="36">
                  <c:v>46020</c:v>
                </c:pt>
                <c:pt idx="37">
                  <c:v>46027</c:v>
                </c:pt>
                <c:pt idx="38">
                  <c:v>46034</c:v>
                </c:pt>
                <c:pt idx="39">
                  <c:v>46041</c:v>
                </c:pt>
                <c:pt idx="40">
                  <c:v>46048</c:v>
                </c:pt>
                <c:pt idx="41">
                  <c:v>46055</c:v>
                </c:pt>
                <c:pt idx="42">
                  <c:v>46062</c:v>
                </c:pt>
                <c:pt idx="43">
                  <c:v>46069</c:v>
                </c:pt>
                <c:pt idx="44">
                  <c:v>46076</c:v>
                </c:pt>
                <c:pt idx="45">
                  <c:v>46083</c:v>
                </c:pt>
                <c:pt idx="46">
                  <c:v>46090</c:v>
                </c:pt>
                <c:pt idx="47">
                  <c:v>46097</c:v>
                </c:pt>
                <c:pt idx="48">
                  <c:v>46104</c:v>
                </c:pt>
                <c:pt idx="49">
                  <c:v>46111</c:v>
                </c:pt>
                <c:pt idx="50">
                  <c:v>46118</c:v>
                </c:pt>
                <c:pt idx="51">
                  <c:v>46125</c:v>
                </c:pt>
                <c:pt idx="52">
                  <c:v>46132</c:v>
                </c:pt>
                <c:pt idx="53">
                  <c:v>46139</c:v>
                </c:pt>
                <c:pt idx="54">
                  <c:v>46146</c:v>
                </c:pt>
                <c:pt idx="55">
                  <c:v>46153</c:v>
                </c:pt>
                <c:pt idx="56">
                  <c:v>46160</c:v>
                </c:pt>
                <c:pt idx="57">
                  <c:v>46167</c:v>
                </c:pt>
                <c:pt idx="58">
                  <c:v>46174</c:v>
                </c:pt>
                <c:pt idx="59">
                  <c:v>46181</c:v>
                </c:pt>
                <c:pt idx="60">
                  <c:v>46188</c:v>
                </c:pt>
                <c:pt idx="61">
                  <c:v>46195</c:v>
                </c:pt>
                <c:pt idx="62">
                  <c:v>46202</c:v>
                </c:pt>
                <c:pt idx="63">
                  <c:v>46209</c:v>
                </c:pt>
                <c:pt idx="64">
                  <c:v>46216</c:v>
                </c:pt>
                <c:pt idx="65">
                  <c:v>46223</c:v>
                </c:pt>
                <c:pt idx="66">
                  <c:v>46230</c:v>
                </c:pt>
                <c:pt idx="67">
                  <c:v>46237</c:v>
                </c:pt>
                <c:pt idx="68">
                  <c:v>46244</c:v>
                </c:pt>
                <c:pt idx="69">
                  <c:v>46251</c:v>
                </c:pt>
                <c:pt idx="70">
                  <c:v>46258</c:v>
                </c:pt>
                <c:pt idx="71">
                  <c:v>46265</c:v>
                </c:pt>
                <c:pt idx="72">
                  <c:v>46272</c:v>
                </c:pt>
                <c:pt idx="73">
                  <c:v>46279</c:v>
                </c:pt>
                <c:pt idx="74">
                  <c:v>46286</c:v>
                </c:pt>
                <c:pt idx="75">
                  <c:v>46293</c:v>
                </c:pt>
                <c:pt idx="76">
                  <c:v>46300</c:v>
                </c:pt>
                <c:pt idx="77">
                  <c:v>46307</c:v>
                </c:pt>
                <c:pt idx="78">
                  <c:v>46314</c:v>
                </c:pt>
                <c:pt idx="79">
                  <c:v>46321</c:v>
                </c:pt>
                <c:pt idx="80">
                  <c:v>46328</c:v>
                </c:pt>
                <c:pt idx="81">
                  <c:v>46335</c:v>
                </c:pt>
                <c:pt idx="82">
                  <c:v>46342</c:v>
                </c:pt>
                <c:pt idx="83">
                  <c:v>46349</c:v>
                </c:pt>
                <c:pt idx="84">
                  <c:v>46356</c:v>
                </c:pt>
                <c:pt idx="85">
                  <c:v>46363</c:v>
                </c:pt>
                <c:pt idx="86">
                  <c:v>46370</c:v>
                </c:pt>
                <c:pt idx="87">
                  <c:v>46377</c:v>
                </c:pt>
                <c:pt idx="88">
                  <c:v>46384</c:v>
                </c:pt>
                <c:pt idx="89">
                  <c:v>46391</c:v>
                </c:pt>
                <c:pt idx="90">
                  <c:v>46398</c:v>
                </c:pt>
                <c:pt idx="91">
                  <c:v>46405</c:v>
                </c:pt>
                <c:pt idx="92">
                  <c:v>46412</c:v>
                </c:pt>
                <c:pt idx="93">
                  <c:v>46419</c:v>
                </c:pt>
                <c:pt idx="94">
                  <c:v>46426</c:v>
                </c:pt>
                <c:pt idx="95">
                  <c:v>46433</c:v>
                </c:pt>
                <c:pt idx="96">
                  <c:v>46440</c:v>
                </c:pt>
                <c:pt idx="97">
                  <c:v>46447</c:v>
                </c:pt>
                <c:pt idx="98">
                  <c:v>46454</c:v>
                </c:pt>
                <c:pt idx="99">
                  <c:v>46461</c:v>
                </c:pt>
                <c:pt idx="100">
                  <c:v>46468</c:v>
                </c:pt>
                <c:pt idx="101">
                  <c:v>46475</c:v>
                </c:pt>
                <c:pt idx="102">
                  <c:v>46482</c:v>
                </c:pt>
                <c:pt idx="103">
                  <c:v>46489</c:v>
                </c:pt>
                <c:pt idx="104">
                  <c:v>46496</c:v>
                </c:pt>
                <c:pt idx="105">
                  <c:v>46503</c:v>
                </c:pt>
                <c:pt idx="106">
                  <c:v>46510</c:v>
                </c:pt>
                <c:pt idx="107">
                  <c:v>46517</c:v>
                </c:pt>
                <c:pt idx="108">
                  <c:v>46524</c:v>
                </c:pt>
                <c:pt idx="109">
                  <c:v>46531</c:v>
                </c:pt>
                <c:pt idx="110">
                  <c:v>46538</c:v>
                </c:pt>
                <c:pt idx="111">
                  <c:v>46545</c:v>
                </c:pt>
                <c:pt idx="112">
                  <c:v>46552</c:v>
                </c:pt>
                <c:pt idx="113">
                  <c:v>46559</c:v>
                </c:pt>
                <c:pt idx="114">
                  <c:v>46566</c:v>
                </c:pt>
                <c:pt idx="115">
                  <c:v>46573</c:v>
                </c:pt>
                <c:pt idx="116">
                  <c:v>46580</c:v>
                </c:pt>
                <c:pt idx="117">
                  <c:v>46587</c:v>
                </c:pt>
                <c:pt idx="118">
                  <c:v>46594</c:v>
                </c:pt>
                <c:pt idx="119">
                  <c:v>46601</c:v>
                </c:pt>
                <c:pt idx="120">
                  <c:v>46608</c:v>
                </c:pt>
                <c:pt idx="121">
                  <c:v>46615</c:v>
                </c:pt>
                <c:pt idx="122">
                  <c:v>46622</c:v>
                </c:pt>
                <c:pt idx="123">
                  <c:v>46629</c:v>
                </c:pt>
                <c:pt idx="124">
                  <c:v>46636</c:v>
                </c:pt>
                <c:pt idx="125">
                  <c:v>46643</c:v>
                </c:pt>
                <c:pt idx="126">
                  <c:v>46650</c:v>
                </c:pt>
                <c:pt idx="127">
                  <c:v>46657</c:v>
                </c:pt>
                <c:pt idx="128">
                  <c:v>46664</c:v>
                </c:pt>
                <c:pt idx="129">
                  <c:v>46671</c:v>
                </c:pt>
                <c:pt idx="130">
                  <c:v>46678</c:v>
                </c:pt>
                <c:pt idx="131">
                  <c:v>46685</c:v>
                </c:pt>
                <c:pt idx="132">
                  <c:v>46692</c:v>
                </c:pt>
                <c:pt idx="133">
                  <c:v>46699</c:v>
                </c:pt>
                <c:pt idx="134">
                  <c:v>46706</c:v>
                </c:pt>
                <c:pt idx="135">
                  <c:v>46713</c:v>
                </c:pt>
                <c:pt idx="136">
                  <c:v>46720</c:v>
                </c:pt>
                <c:pt idx="137">
                  <c:v>46727</c:v>
                </c:pt>
                <c:pt idx="138">
                  <c:v>46734</c:v>
                </c:pt>
                <c:pt idx="139">
                  <c:v>46741</c:v>
                </c:pt>
                <c:pt idx="140">
                  <c:v>46748</c:v>
                </c:pt>
              </c:numCache>
            </c:numRef>
          </c:cat>
          <c:val>
            <c:numRef>
              <c:f>Options!$I$4:$I$92</c:f>
              <c:numCache>
                <c:formatCode>_(* #,##0.00_);_(* \(#,##0.00\);_(* "-"??_);_(@_)</c:formatCode>
                <c:ptCount val="89"/>
                <c:pt idx="0">
                  <c:v>201.84</c:v>
                </c:pt>
                <c:pt idx="1">
                  <c:v>208.89000000000001</c:v>
                </c:pt>
                <c:pt idx="2">
                  <c:v>216.15</c:v>
                </c:pt>
                <c:pt idx="3">
                  <c:v>273.62</c:v>
                </c:pt>
                <c:pt idx="4">
                  <c:v>281.32</c:v>
                </c:pt>
                <c:pt idx="5">
                  <c:v>339.25</c:v>
                </c:pt>
                <c:pt idx="6">
                  <c:v>347.42</c:v>
                </c:pt>
                <c:pt idx="7">
                  <c:v>405.83000000000004</c:v>
                </c:pt>
                <c:pt idx="8">
                  <c:v>414.49000000000007</c:v>
                </c:pt>
                <c:pt idx="9">
                  <c:v>473.41000000000008</c:v>
                </c:pt>
                <c:pt idx="10">
                  <c:v>482.60000000000008</c:v>
                </c:pt>
                <c:pt idx="11">
                  <c:v>542.07000000000016</c:v>
                </c:pt>
                <c:pt idx="12">
                  <c:v>551.82000000000016</c:v>
                </c:pt>
                <c:pt idx="13">
                  <c:v>661.86000000000013</c:v>
                </c:pt>
                <c:pt idx="14">
                  <c:v>672.21000000000015</c:v>
                </c:pt>
                <c:pt idx="15">
                  <c:v>732.87000000000012</c:v>
                </c:pt>
                <c:pt idx="16">
                  <c:v>743.85000000000014</c:v>
                </c:pt>
                <c:pt idx="17">
                  <c:v>805.16000000000008</c:v>
                </c:pt>
                <c:pt idx="18">
                  <c:v>816.80000000000007</c:v>
                </c:pt>
                <c:pt idx="19">
                  <c:v>878.79000000000008</c:v>
                </c:pt>
                <c:pt idx="20">
                  <c:v>891.1400000000001</c:v>
                </c:pt>
                <c:pt idx="21">
                  <c:v>953.86000000000013</c:v>
                </c:pt>
                <c:pt idx="22">
                  <c:v>966.97000000000014</c:v>
                </c:pt>
                <c:pt idx="23">
                  <c:v>1030.4700000000003</c:v>
                </c:pt>
                <c:pt idx="24">
                  <c:v>1044.3700000000003</c:v>
                </c:pt>
                <c:pt idx="25">
                  <c:v>1108.6900000000003</c:v>
                </c:pt>
                <c:pt idx="26">
                  <c:v>1123.4400000000003</c:v>
                </c:pt>
                <c:pt idx="27">
                  <c:v>1188.6300000000003</c:v>
                </c:pt>
                <c:pt idx="28">
                  <c:v>1204.2800000000004</c:v>
                </c:pt>
                <c:pt idx="29">
                  <c:v>1270.4000000000003</c:v>
                </c:pt>
                <c:pt idx="30">
                  <c:v>1387.0000000000002</c:v>
                </c:pt>
                <c:pt idx="31">
                  <c:v>1454.1000000000001</c:v>
                </c:pt>
                <c:pt idx="32">
                  <c:v>1471.71</c:v>
                </c:pt>
                <c:pt idx="33">
                  <c:v>1539.8500000000001</c:v>
                </c:pt>
                <c:pt idx="34">
                  <c:v>1558.5400000000002</c:v>
                </c:pt>
                <c:pt idx="35">
                  <c:v>1627.7900000000002</c:v>
                </c:pt>
                <c:pt idx="36">
                  <c:v>1647.6100000000001</c:v>
                </c:pt>
                <c:pt idx="37">
                  <c:v>1768.0300000000002</c:v>
                </c:pt>
                <c:pt idx="38">
                  <c:v>1789.0600000000002</c:v>
                </c:pt>
                <c:pt idx="39">
                  <c:v>1910.7200000000003</c:v>
                </c:pt>
                <c:pt idx="40">
                  <c:v>1933.0300000000002</c:v>
                </c:pt>
                <c:pt idx="41">
                  <c:v>2056.0100000000002</c:v>
                </c:pt>
                <c:pt idx="42">
                  <c:v>2079.6800000000003</c:v>
                </c:pt>
                <c:pt idx="43">
                  <c:v>2204.0600000000004</c:v>
                </c:pt>
                <c:pt idx="44">
                  <c:v>2229.1700000000005</c:v>
                </c:pt>
                <c:pt idx="45">
                  <c:v>2355.0400000000004</c:v>
                </c:pt>
                <c:pt idx="46">
                  <c:v>2381.6800000000003</c:v>
                </c:pt>
                <c:pt idx="47">
                  <c:v>2509.1200000000003</c:v>
                </c:pt>
                <c:pt idx="48">
                  <c:v>2537.3800000000006</c:v>
                </c:pt>
                <c:pt idx="49">
                  <c:v>2666.4900000000007</c:v>
                </c:pt>
                <c:pt idx="50">
                  <c:v>2696.4800000000005</c:v>
                </c:pt>
                <c:pt idx="51">
                  <c:v>2827.3700000000003</c:v>
                </c:pt>
                <c:pt idx="52">
                  <c:v>3059.1800000000003</c:v>
                </c:pt>
                <c:pt idx="53">
                  <c:v>3191.9500000000003</c:v>
                </c:pt>
                <c:pt idx="54">
                  <c:v>3225.7000000000003</c:v>
                </c:pt>
                <c:pt idx="55">
                  <c:v>3360.4600000000005</c:v>
                </c:pt>
                <c:pt idx="56">
                  <c:v>3396.2600000000007</c:v>
                </c:pt>
                <c:pt idx="57">
                  <c:v>3533.1400000000008</c:v>
                </c:pt>
                <c:pt idx="58">
                  <c:v>3571.1300000000006</c:v>
                </c:pt>
                <c:pt idx="59">
                  <c:v>3810.2500000000005</c:v>
                </c:pt>
                <c:pt idx="60">
                  <c:v>3965.5500000000006</c:v>
                </c:pt>
                <c:pt idx="61">
                  <c:v>4257.0600000000013</c:v>
                </c:pt>
                <c:pt idx="62">
                  <c:v>4299.8100000000013</c:v>
                </c:pt>
                <c:pt idx="63">
                  <c:v>4443.8500000000013</c:v>
                </c:pt>
                <c:pt idx="64">
                  <c:v>4489.2100000000009</c:v>
                </c:pt>
                <c:pt idx="65">
                  <c:v>4635.9300000000012</c:v>
                </c:pt>
                <c:pt idx="66">
                  <c:v>4684.0500000000011</c:v>
                </c:pt>
                <c:pt idx="67">
                  <c:v>4833.6100000000015</c:v>
                </c:pt>
                <c:pt idx="68">
                  <c:v>4884.6600000000017</c:v>
                </c:pt>
                <c:pt idx="69">
                  <c:v>5037.2400000000016</c:v>
                </c:pt>
                <c:pt idx="70">
                  <c:v>5091.4000000000015</c:v>
                </c:pt>
                <c:pt idx="71">
                  <c:v>5247.1800000000012</c:v>
                </c:pt>
                <c:pt idx="72">
                  <c:v>5304.6400000000012</c:v>
                </c:pt>
                <c:pt idx="73">
                  <c:v>5463.8200000000015</c:v>
                </c:pt>
                <c:pt idx="74">
                  <c:v>5524.7800000000016</c:v>
                </c:pt>
                <c:pt idx="75">
                  <c:v>5687.5600000000013</c:v>
                </c:pt>
                <c:pt idx="76">
                  <c:v>5752.2300000000014</c:v>
                </c:pt>
                <c:pt idx="77">
                  <c:v>5918.8400000000011</c:v>
                </c:pt>
                <c:pt idx="78">
                  <c:v>5987.4500000000007</c:v>
                </c:pt>
                <c:pt idx="79">
                  <c:v>6158.1100000000006</c:v>
                </c:pt>
                <c:pt idx="80">
                  <c:v>6230.89</c:v>
                </c:pt>
                <c:pt idx="81">
                  <c:v>6405.8600000000006</c:v>
                </c:pt>
                <c:pt idx="82">
                  <c:v>6483.0800000000008</c:v>
                </c:pt>
                <c:pt idx="83">
                  <c:v>6662.6100000000006</c:v>
                </c:pt>
                <c:pt idx="84">
                  <c:v>6744.5300000000007</c:v>
                </c:pt>
                <c:pt idx="85">
                  <c:v>6928.9100000000008</c:v>
                </c:pt>
                <c:pt idx="86">
                  <c:v>7015.8200000000006</c:v>
                </c:pt>
                <c:pt idx="87">
                  <c:v>7205.3300000000008</c:v>
                </c:pt>
                <c:pt idx="88">
                  <c:v>7297.5300000000007</c:v>
                </c:pt>
              </c:numCache>
            </c:numRef>
          </c:val>
          <c:extLst>
            <c:ext xmlns:c16="http://schemas.microsoft.com/office/drawing/2014/chart" uri="{C3380CC4-5D6E-409C-BE32-E72D297353CC}">
              <c16:uniqueId val="{00000000-D3E0-4C7F-AA1B-0222394FA261}"/>
            </c:ext>
          </c:extLst>
        </c:ser>
        <c:dLbls>
          <c:showLegendKey val="0"/>
          <c:showVal val="0"/>
          <c:showCatName val="0"/>
          <c:showSerName val="0"/>
          <c:showPercent val="0"/>
          <c:showBubbleSize val="0"/>
        </c:dLbls>
        <c:gapWidth val="150"/>
        <c:axId val="1868003616"/>
        <c:axId val="1868004096"/>
        <c:extLst>
          <c:ext xmlns:c15="http://schemas.microsoft.com/office/drawing/2012/chart" uri="{02D57815-91ED-43cb-92C2-25804820EDAC}">
            <c15:filteredBarSeries>
              <c15:ser>
                <c:idx val="0"/>
                <c:order val="0"/>
                <c:tx>
                  <c:strRef>
                    <c:extLst>
                      <c:ext uri="{02D57815-91ED-43cb-92C2-25804820EDAC}">
                        <c15:formulaRef>
                          <c15:sqref>Options!$D$3</c15:sqref>
                        </c15:formulaRef>
                      </c:ext>
                    </c:extLst>
                    <c:strCache>
                      <c:ptCount val="1"/>
                      <c:pt idx="0">
                        <c:v>Year</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numRef>
                    <c:extLst>
                      <c:ext uri="{02D57815-91ED-43cb-92C2-25804820EDAC}">
                        <c15:formulaRef>
                          <c15:sqref>Options!$C$4:$C$144</c15:sqref>
                        </c15:formulaRef>
                      </c:ext>
                    </c:extLst>
                    <c:numCache>
                      <c:formatCode>m/d/yyyy</c:formatCode>
                      <c:ptCount val="141"/>
                      <c:pt idx="0">
                        <c:v>45768</c:v>
                      </c:pt>
                      <c:pt idx="1">
                        <c:v>45775</c:v>
                      </c:pt>
                      <c:pt idx="2">
                        <c:v>45782</c:v>
                      </c:pt>
                      <c:pt idx="3">
                        <c:v>45789</c:v>
                      </c:pt>
                      <c:pt idx="4">
                        <c:v>45796</c:v>
                      </c:pt>
                      <c:pt idx="5">
                        <c:v>45803</c:v>
                      </c:pt>
                      <c:pt idx="6">
                        <c:v>45810</c:v>
                      </c:pt>
                      <c:pt idx="7">
                        <c:v>45817</c:v>
                      </c:pt>
                      <c:pt idx="8">
                        <c:v>45824</c:v>
                      </c:pt>
                      <c:pt idx="9">
                        <c:v>45831</c:v>
                      </c:pt>
                      <c:pt idx="10">
                        <c:v>45838</c:v>
                      </c:pt>
                      <c:pt idx="11">
                        <c:v>45845</c:v>
                      </c:pt>
                      <c:pt idx="12">
                        <c:v>45852</c:v>
                      </c:pt>
                      <c:pt idx="13">
                        <c:v>45859</c:v>
                      </c:pt>
                      <c:pt idx="14">
                        <c:v>45866</c:v>
                      </c:pt>
                      <c:pt idx="15">
                        <c:v>45873</c:v>
                      </c:pt>
                      <c:pt idx="16">
                        <c:v>45880</c:v>
                      </c:pt>
                      <c:pt idx="17">
                        <c:v>45887</c:v>
                      </c:pt>
                      <c:pt idx="18">
                        <c:v>45894</c:v>
                      </c:pt>
                      <c:pt idx="19">
                        <c:v>45901</c:v>
                      </c:pt>
                      <c:pt idx="20">
                        <c:v>45908</c:v>
                      </c:pt>
                      <c:pt idx="21">
                        <c:v>45915</c:v>
                      </c:pt>
                      <c:pt idx="22">
                        <c:v>45922</c:v>
                      </c:pt>
                      <c:pt idx="23">
                        <c:v>45929</c:v>
                      </c:pt>
                      <c:pt idx="24">
                        <c:v>45936</c:v>
                      </c:pt>
                      <c:pt idx="25">
                        <c:v>45943</c:v>
                      </c:pt>
                      <c:pt idx="26">
                        <c:v>45950</c:v>
                      </c:pt>
                      <c:pt idx="27">
                        <c:v>45957</c:v>
                      </c:pt>
                      <c:pt idx="28">
                        <c:v>45964</c:v>
                      </c:pt>
                      <c:pt idx="29">
                        <c:v>45971</c:v>
                      </c:pt>
                      <c:pt idx="30">
                        <c:v>45978</c:v>
                      </c:pt>
                      <c:pt idx="31">
                        <c:v>45985</c:v>
                      </c:pt>
                      <c:pt idx="32">
                        <c:v>45992</c:v>
                      </c:pt>
                      <c:pt idx="33">
                        <c:v>45999</c:v>
                      </c:pt>
                      <c:pt idx="34">
                        <c:v>46006</c:v>
                      </c:pt>
                      <c:pt idx="35">
                        <c:v>46013</c:v>
                      </c:pt>
                      <c:pt idx="36">
                        <c:v>46020</c:v>
                      </c:pt>
                      <c:pt idx="37">
                        <c:v>46027</c:v>
                      </c:pt>
                      <c:pt idx="38">
                        <c:v>46034</c:v>
                      </c:pt>
                      <c:pt idx="39">
                        <c:v>46041</c:v>
                      </c:pt>
                      <c:pt idx="40">
                        <c:v>46048</c:v>
                      </c:pt>
                      <c:pt idx="41">
                        <c:v>46055</c:v>
                      </c:pt>
                      <c:pt idx="42">
                        <c:v>46062</c:v>
                      </c:pt>
                      <c:pt idx="43">
                        <c:v>46069</c:v>
                      </c:pt>
                      <c:pt idx="44">
                        <c:v>46076</c:v>
                      </c:pt>
                      <c:pt idx="45">
                        <c:v>46083</c:v>
                      </c:pt>
                      <c:pt idx="46">
                        <c:v>46090</c:v>
                      </c:pt>
                      <c:pt idx="47">
                        <c:v>46097</c:v>
                      </c:pt>
                      <c:pt idx="48">
                        <c:v>46104</c:v>
                      </c:pt>
                      <c:pt idx="49">
                        <c:v>46111</c:v>
                      </c:pt>
                      <c:pt idx="50">
                        <c:v>46118</c:v>
                      </c:pt>
                      <c:pt idx="51">
                        <c:v>46125</c:v>
                      </c:pt>
                      <c:pt idx="52">
                        <c:v>46132</c:v>
                      </c:pt>
                      <c:pt idx="53">
                        <c:v>46139</c:v>
                      </c:pt>
                      <c:pt idx="54">
                        <c:v>46146</c:v>
                      </c:pt>
                      <c:pt idx="55">
                        <c:v>46153</c:v>
                      </c:pt>
                      <c:pt idx="56">
                        <c:v>46160</c:v>
                      </c:pt>
                      <c:pt idx="57">
                        <c:v>46167</c:v>
                      </c:pt>
                      <c:pt idx="58">
                        <c:v>46174</c:v>
                      </c:pt>
                      <c:pt idx="59">
                        <c:v>46181</c:v>
                      </c:pt>
                      <c:pt idx="60">
                        <c:v>46188</c:v>
                      </c:pt>
                      <c:pt idx="61">
                        <c:v>46195</c:v>
                      </c:pt>
                      <c:pt idx="62">
                        <c:v>46202</c:v>
                      </c:pt>
                      <c:pt idx="63">
                        <c:v>46209</c:v>
                      </c:pt>
                      <c:pt idx="64">
                        <c:v>46216</c:v>
                      </c:pt>
                      <c:pt idx="65">
                        <c:v>46223</c:v>
                      </c:pt>
                      <c:pt idx="66">
                        <c:v>46230</c:v>
                      </c:pt>
                      <c:pt idx="67">
                        <c:v>46237</c:v>
                      </c:pt>
                      <c:pt idx="68">
                        <c:v>46244</c:v>
                      </c:pt>
                      <c:pt idx="69">
                        <c:v>46251</c:v>
                      </c:pt>
                      <c:pt idx="70">
                        <c:v>46258</c:v>
                      </c:pt>
                      <c:pt idx="71">
                        <c:v>46265</c:v>
                      </c:pt>
                      <c:pt idx="72">
                        <c:v>46272</c:v>
                      </c:pt>
                      <c:pt idx="73">
                        <c:v>46279</c:v>
                      </c:pt>
                      <c:pt idx="74">
                        <c:v>46286</c:v>
                      </c:pt>
                      <c:pt idx="75">
                        <c:v>46293</c:v>
                      </c:pt>
                      <c:pt idx="76">
                        <c:v>46300</c:v>
                      </c:pt>
                      <c:pt idx="77">
                        <c:v>46307</c:v>
                      </c:pt>
                      <c:pt idx="78">
                        <c:v>46314</c:v>
                      </c:pt>
                      <c:pt idx="79">
                        <c:v>46321</c:v>
                      </c:pt>
                      <c:pt idx="80">
                        <c:v>46328</c:v>
                      </c:pt>
                      <c:pt idx="81">
                        <c:v>46335</c:v>
                      </c:pt>
                      <c:pt idx="82">
                        <c:v>46342</c:v>
                      </c:pt>
                      <c:pt idx="83">
                        <c:v>46349</c:v>
                      </c:pt>
                      <c:pt idx="84">
                        <c:v>46356</c:v>
                      </c:pt>
                      <c:pt idx="85">
                        <c:v>46363</c:v>
                      </c:pt>
                      <c:pt idx="86">
                        <c:v>46370</c:v>
                      </c:pt>
                      <c:pt idx="87">
                        <c:v>46377</c:v>
                      </c:pt>
                      <c:pt idx="88">
                        <c:v>46384</c:v>
                      </c:pt>
                      <c:pt idx="89">
                        <c:v>46391</c:v>
                      </c:pt>
                      <c:pt idx="90">
                        <c:v>46398</c:v>
                      </c:pt>
                      <c:pt idx="91">
                        <c:v>46405</c:v>
                      </c:pt>
                      <c:pt idx="92">
                        <c:v>46412</c:v>
                      </c:pt>
                      <c:pt idx="93">
                        <c:v>46419</c:v>
                      </c:pt>
                      <c:pt idx="94">
                        <c:v>46426</c:v>
                      </c:pt>
                      <c:pt idx="95">
                        <c:v>46433</c:v>
                      </c:pt>
                      <c:pt idx="96">
                        <c:v>46440</c:v>
                      </c:pt>
                      <c:pt idx="97">
                        <c:v>46447</c:v>
                      </c:pt>
                      <c:pt idx="98">
                        <c:v>46454</c:v>
                      </c:pt>
                      <c:pt idx="99">
                        <c:v>46461</c:v>
                      </c:pt>
                      <c:pt idx="100">
                        <c:v>46468</c:v>
                      </c:pt>
                      <c:pt idx="101">
                        <c:v>46475</c:v>
                      </c:pt>
                      <c:pt idx="102">
                        <c:v>46482</c:v>
                      </c:pt>
                      <c:pt idx="103">
                        <c:v>46489</c:v>
                      </c:pt>
                      <c:pt idx="104">
                        <c:v>46496</c:v>
                      </c:pt>
                      <c:pt idx="105">
                        <c:v>46503</c:v>
                      </c:pt>
                      <c:pt idx="106">
                        <c:v>46510</c:v>
                      </c:pt>
                      <c:pt idx="107">
                        <c:v>46517</c:v>
                      </c:pt>
                      <c:pt idx="108">
                        <c:v>46524</c:v>
                      </c:pt>
                      <c:pt idx="109">
                        <c:v>46531</c:v>
                      </c:pt>
                      <c:pt idx="110">
                        <c:v>46538</c:v>
                      </c:pt>
                      <c:pt idx="111">
                        <c:v>46545</c:v>
                      </c:pt>
                      <c:pt idx="112">
                        <c:v>46552</c:v>
                      </c:pt>
                      <c:pt idx="113">
                        <c:v>46559</c:v>
                      </c:pt>
                      <c:pt idx="114">
                        <c:v>46566</c:v>
                      </c:pt>
                      <c:pt idx="115">
                        <c:v>46573</c:v>
                      </c:pt>
                      <c:pt idx="116">
                        <c:v>46580</c:v>
                      </c:pt>
                      <c:pt idx="117">
                        <c:v>46587</c:v>
                      </c:pt>
                      <c:pt idx="118">
                        <c:v>46594</c:v>
                      </c:pt>
                      <c:pt idx="119">
                        <c:v>46601</c:v>
                      </c:pt>
                      <c:pt idx="120">
                        <c:v>46608</c:v>
                      </c:pt>
                      <c:pt idx="121">
                        <c:v>46615</c:v>
                      </c:pt>
                      <c:pt idx="122">
                        <c:v>46622</c:v>
                      </c:pt>
                      <c:pt idx="123">
                        <c:v>46629</c:v>
                      </c:pt>
                      <c:pt idx="124">
                        <c:v>46636</c:v>
                      </c:pt>
                      <c:pt idx="125">
                        <c:v>46643</c:v>
                      </c:pt>
                      <c:pt idx="126">
                        <c:v>46650</c:v>
                      </c:pt>
                      <c:pt idx="127">
                        <c:v>46657</c:v>
                      </c:pt>
                      <c:pt idx="128">
                        <c:v>46664</c:v>
                      </c:pt>
                      <c:pt idx="129">
                        <c:v>46671</c:v>
                      </c:pt>
                      <c:pt idx="130">
                        <c:v>46678</c:v>
                      </c:pt>
                      <c:pt idx="131">
                        <c:v>46685</c:v>
                      </c:pt>
                      <c:pt idx="132">
                        <c:v>46692</c:v>
                      </c:pt>
                      <c:pt idx="133">
                        <c:v>46699</c:v>
                      </c:pt>
                      <c:pt idx="134">
                        <c:v>46706</c:v>
                      </c:pt>
                      <c:pt idx="135">
                        <c:v>46713</c:v>
                      </c:pt>
                      <c:pt idx="136">
                        <c:v>46720</c:v>
                      </c:pt>
                      <c:pt idx="137">
                        <c:v>46727</c:v>
                      </c:pt>
                      <c:pt idx="138">
                        <c:v>46734</c:v>
                      </c:pt>
                      <c:pt idx="139">
                        <c:v>46741</c:v>
                      </c:pt>
                      <c:pt idx="140">
                        <c:v>46748</c:v>
                      </c:pt>
                    </c:numCache>
                  </c:numRef>
                </c:cat>
                <c:val>
                  <c:numRef>
                    <c:extLst>
                      <c:ext uri="{02D57815-91ED-43cb-92C2-25804820EDAC}">
                        <c15:formulaRef>
                          <c15:sqref>Options!$D$4:$D$92</c15:sqref>
                        </c15:formulaRef>
                      </c:ext>
                    </c:extLst>
                    <c:numCache>
                      <c:formatCode>General</c:formatCode>
                      <c:ptCount val="89"/>
                      <c:pt idx="0">
                        <c:v>2025</c:v>
                      </c:pt>
                      <c:pt idx="1">
                        <c:v>2025</c:v>
                      </c:pt>
                      <c:pt idx="2">
                        <c:v>2025</c:v>
                      </c:pt>
                      <c:pt idx="3">
                        <c:v>2025</c:v>
                      </c:pt>
                      <c:pt idx="4">
                        <c:v>2025</c:v>
                      </c:pt>
                      <c:pt idx="5">
                        <c:v>2025</c:v>
                      </c:pt>
                      <c:pt idx="6">
                        <c:v>2025</c:v>
                      </c:pt>
                      <c:pt idx="7">
                        <c:v>2025</c:v>
                      </c:pt>
                      <c:pt idx="8">
                        <c:v>2025</c:v>
                      </c:pt>
                      <c:pt idx="9">
                        <c:v>2025</c:v>
                      </c:pt>
                      <c:pt idx="10">
                        <c:v>2025</c:v>
                      </c:pt>
                      <c:pt idx="11">
                        <c:v>2025</c:v>
                      </c:pt>
                      <c:pt idx="12">
                        <c:v>2025</c:v>
                      </c:pt>
                      <c:pt idx="13">
                        <c:v>2025</c:v>
                      </c:pt>
                      <c:pt idx="14">
                        <c:v>2025</c:v>
                      </c:pt>
                      <c:pt idx="15">
                        <c:v>2025</c:v>
                      </c:pt>
                      <c:pt idx="16">
                        <c:v>2025</c:v>
                      </c:pt>
                      <c:pt idx="17">
                        <c:v>2025</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2025</c:v>
                      </c:pt>
                      <c:pt idx="31">
                        <c:v>2025</c:v>
                      </c:pt>
                      <c:pt idx="32">
                        <c:v>2025</c:v>
                      </c:pt>
                      <c:pt idx="33">
                        <c:v>2025</c:v>
                      </c:pt>
                      <c:pt idx="34">
                        <c:v>2025</c:v>
                      </c:pt>
                      <c:pt idx="35">
                        <c:v>2025</c:v>
                      </c:pt>
                      <c:pt idx="36">
                        <c:v>2025</c:v>
                      </c:pt>
                      <c:pt idx="37">
                        <c:v>2026</c:v>
                      </c:pt>
                      <c:pt idx="38">
                        <c:v>2026</c:v>
                      </c:pt>
                      <c:pt idx="39">
                        <c:v>2026</c:v>
                      </c:pt>
                      <c:pt idx="40">
                        <c:v>2026</c:v>
                      </c:pt>
                      <c:pt idx="41">
                        <c:v>2026</c:v>
                      </c:pt>
                      <c:pt idx="42">
                        <c:v>2026</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2026</c:v>
                      </c:pt>
                      <c:pt idx="56">
                        <c:v>2026</c:v>
                      </c:pt>
                      <c:pt idx="57">
                        <c:v>2026</c:v>
                      </c:pt>
                      <c:pt idx="58">
                        <c:v>2026</c:v>
                      </c:pt>
                      <c:pt idx="59">
                        <c:v>2026</c:v>
                      </c:pt>
                      <c:pt idx="60">
                        <c:v>2026</c:v>
                      </c:pt>
                      <c:pt idx="61">
                        <c:v>2026</c:v>
                      </c:pt>
                      <c:pt idx="62">
                        <c:v>2026</c:v>
                      </c:pt>
                      <c:pt idx="63">
                        <c:v>2026</c:v>
                      </c:pt>
                      <c:pt idx="64">
                        <c:v>2026</c:v>
                      </c:pt>
                      <c:pt idx="65">
                        <c:v>2026</c:v>
                      </c:pt>
                      <c:pt idx="66">
                        <c:v>2026</c:v>
                      </c:pt>
                      <c:pt idx="67">
                        <c:v>2026</c:v>
                      </c:pt>
                      <c:pt idx="68">
                        <c:v>2026</c:v>
                      </c:pt>
                      <c:pt idx="69">
                        <c:v>2026</c:v>
                      </c:pt>
                      <c:pt idx="70">
                        <c:v>2026</c:v>
                      </c:pt>
                      <c:pt idx="71">
                        <c:v>2026</c:v>
                      </c:pt>
                      <c:pt idx="72">
                        <c:v>2026</c:v>
                      </c:pt>
                      <c:pt idx="73">
                        <c:v>2026</c:v>
                      </c:pt>
                      <c:pt idx="74">
                        <c:v>2026</c:v>
                      </c:pt>
                      <c:pt idx="75">
                        <c:v>2026</c:v>
                      </c:pt>
                      <c:pt idx="76">
                        <c:v>2026</c:v>
                      </c:pt>
                      <c:pt idx="77">
                        <c:v>2026</c:v>
                      </c:pt>
                      <c:pt idx="78">
                        <c:v>2026</c:v>
                      </c:pt>
                      <c:pt idx="79">
                        <c:v>2026</c:v>
                      </c:pt>
                      <c:pt idx="80">
                        <c:v>2026</c:v>
                      </c:pt>
                      <c:pt idx="81">
                        <c:v>2026</c:v>
                      </c:pt>
                      <c:pt idx="82">
                        <c:v>2026</c:v>
                      </c:pt>
                      <c:pt idx="83">
                        <c:v>2026</c:v>
                      </c:pt>
                      <c:pt idx="84">
                        <c:v>2026</c:v>
                      </c:pt>
                      <c:pt idx="85">
                        <c:v>2026</c:v>
                      </c:pt>
                      <c:pt idx="86">
                        <c:v>2026</c:v>
                      </c:pt>
                      <c:pt idx="87">
                        <c:v>2026</c:v>
                      </c:pt>
                      <c:pt idx="88">
                        <c:v>2026</c:v>
                      </c:pt>
                    </c:numCache>
                  </c:numRef>
                </c:val>
                <c:extLst>
                  <c:ext xmlns:c16="http://schemas.microsoft.com/office/drawing/2014/chart" uri="{C3380CC4-5D6E-409C-BE32-E72D297353CC}">
                    <c16:uniqueId val="{00000003-D3E0-4C7F-AA1B-0222394FA261}"/>
                  </c:ext>
                </c:extLst>
              </c15:ser>
            </c15:filteredBarSeries>
            <c15:filteredBarSeries>
              <c15:ser>
                <c:idx val="1"/>
                <c:order val="1"/>
                <c:tx>
                  <c:strRef>
                    <c:extLst>
                      <c:ext xmlns:c15="http://schemas.microsoft.com/office/drawing/2012/chart" uri="{02D57815-91ED-43cb-92C2-25804820EDAC}">
                        <c15:formulaRef>
                          <c15:sqref>Options!$E$3</c15:sqref>
                        </c15:formulaRef>
                      </c:ext>
                    </c:extLst>
                    <c:strCache>
                      <c:ptCount val="1"/>
                      <c:pt idx="0">
                        <c:v>Start balance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numRef>
                    <c:extLst>
                      <c:ext xmlns:c15="http://schemas.microsoft.com/office/drawing/2012/chart" uri="{02D57815-91ED-43cb-92C2-25804820EDAC}">
                        <c15:formulaRef>
                          <c15:sqref>Options!$C$4:$C$144</c15:sqref>
                        </c15:formulaRef>
                      </c:ext>
                    </c:extLst>
                    <c:numCache>
                      <c:formatCode>m/d/yyyy</c:formatCode>
                      <c:ptCount val="141"/>
                      <c:pt idx="0">
                        <c:v>45768</c:v>
                      </c:pt>
                      <c:pt idx="1">
                        <c:v>45775</c:v>
                      </c:pt>
                      <c:pt idx="2">
                        <c:v>45782</c:v>
                      </c:pt>
                      <c:pt idx="3">
                        <c:v>45789</c:v>
                      </c:pt>
                      <c:pt idx="4">
                        <c:v>45796</c:v>
                      </c:pt>
                      <c:pt idx="5">
                        <c:v>45803</c:v>
                      </c:pt>
                      <c:pt idx="6">
                        <c:v>45810</c:v>
                      </c:pt>
                      <c:pt idx="7">
                        <c:v>45817</c:v>
                      </c:pt>
                      <c:pt idx="8">
                        <c:v>45824</c:v>
                      </c:pt>
                      <c:pt idx="9">
                        <c:v>45831</c:v>
                      </c:pt>
                      <c:pt idx="10">
                        <c:v>45838</c:v>
                      </c:pt>
                      <c:pt idx="11">
                        <c:v>45845</c:v>
                      </c:pt>
                      <c:pt idx="12">
                        <c:v>45852</c:v>
                      </c:pt>
                      <c:pt idx="13">
                        <c:v>45859</c:v>
                      </c:pt>
                      <c:pt idx="14">
                        <c:v>45866</c:v>
                      </c:pt>
                      <c:pt idx="15">
                        <c:v>45873</c:v>
                      </c:pt>
                      <c:pt idx="16">
                        <c:v>45880</c:v>
                      </c:pt>
                      <c:pt idx="17">
                        <c:v>45887</c:v>
                      </c:pt>
                      <c:pt idx="18">
                        <c:v>45894</c:v>
                      </c:pt>
                      <c:pt idx="19">
                        <c:v>45901</c:v>
                      </c:pt>
                      <c:pt idx="20">
                        <c:v>45908</c:v>
                      </c:pt>
                      <c:pt idx="21">
                        <c:v>45915</c:v>
                      </c:pt>
                      <c:pt idx="22">
                        <c:v>45922</c:v>
                      </c:pt>
                      <c:pt idx="23">
                        <c:v>45929</c:v>
                      </c:pt>
                      <c:pt idx="24">
                        <c:v>45936</c:v>
                      </c:pt>
                      <c:pt idx="25">
                        <c:v>45943</c:v>
                      </c:pt>
                      <c:pt idx="26">
                        <c:v>45950</c:v>
                      </c:pt>
                      <c:pt idx="27">
                        <c:v>45957</c:v>
                      </c:pt>
                      <c:pt idx="28">
                        <c:v>45964</c:v>
                      </c:pt>
                      <c:pt idx="29">
                        <c:v>45971</c:v>
                      </c:pt>
                      <c:pt idx="30">
                        <c:v>45978</c:v>
                      </c:pt>
                      <c:pt idx="31">
                        <c:v>45985</c:v>
                      </c:pt>
                      <c:pt idx="32">
                        <c:v>45992</c:v>
                      </c:pt>
                      <c:pt idx="33">
                        <c:v>45999</c:v>
                      </c:pt>
                      <c:pt idx="34">
                        <c:v>46006</c:v>
                      </c:pt>
                      <c:pt idx="35">
                        <c:v>46013</c:v>
                      </c:pt>
                      <c:pt idx="36">
                        <c:v>46020</c:v>
                      </c:pt>
                      <c:pt idx="37">
                        <c:v>46027</c:v>
                      </c:pt>
                      <c:pt idx="38">
                        <c:v>46034</c:v>
                      </c:pt>
                      <c:pt idx="39">
                        <c:v>46041</c:v>
                      </c:pt>
                      <c:pt idx="40">
                        <c:v>46048</c:v>
                      </c:pt>
                      <c:pt idx="41">
                        <c:v>46055</c:v>
                      </c:pt>
                      <c:pt idx="42">
                        <c:v>46062</c:v>
                      </c:pt>
                      <c:pt idx="43">
                        <c:v>46069</c:v>
                      </c:pt>
                      <c:pt idx="44">
                        <c:v>46076</c:v>
                      </c:pt>
                      <c:pt idx="45">
                        <c:v>46083</c:v>
                      </c:pt>
                      <c:pt idx="46">
                        <c:v>46090</c:v>
                      </c:pt>
                      <c:pt idx="47">
                        <c:v>46097</c:v>
                      </c:pt>
                      <c:pt idx="48">
                        <c:v>46104</c:v>
                      </c:pt>
                      <c:pt idx="49">
                        <c:v>46111</c:v>
                      </c:pt>
                      <c:pt idx="50">
                        <c:v>46118</c:v>
                      </c:pt>
                      <c:pt idx="51">
                        <c:v>46125</c:v>
                      </c:pt>
                      <c:pt idx="52">
                        <c:v>46132</c:v>
                      </c:pt>
                      <c:pt idx="53">
                        <c:v>46139</c:v>
                      </c:pt>
                      <c:pt idx="54">
                        <c:v>46146</c:v>
                      </c:pt>
                      <c:pt idx="55">
                        <c:v>46153</c:v>
                      </c:pt>
                      <c:pt idx="56">
                        <c:v>46160</c:v>
                      </c:pt>
                      <c:pt idx="57">
                        <c:v>46167</c:v>
                      </c:pt>
                      <c:pt idx="58">
                        <c:v>46174</c:v>
                      </c:pt>
                      <c:pt idx="59">
                        <c:v>46181</c:v>
                      </c:pt>
                      <c:pt idx="60">
                        <c:v>46188</c:v>
                      </c:pt>
                      <c:pt idx="61">
                        <c:v>46195</c:v>
                      </c:pt>
                      <c:pt idx="62">
                        <c:v>46202</c:v>
                      </c:pt>
                      <c:pt idx="63">
                        <c:v>46209</c:v>
                      </c:pt>
                      <c:pt idx="64">
                        <c:v>46216</c:v>
                      </c:pt>
                      <c:pt idx="65">
                        <c:v>46223</c:v>
                      </c:pt>
                      <c:pt idx="66">
                        <c:v>46230</c:v>
                      </c:pt>
                      <c:pt idx="67">
                        <c:v>46237</c:v>
                      </c:pt>
                      <c:pt idx="68">
                        <c:v>46244</c:v>
                      </c:pt>
                      <c:pt idx="69">
                        <c:v>46251</c:v>
                      </c:pt>
                      <c:pt idx="70">
                        <c:v>46258</c:v>
                      </c:pt>
                      <c:pt idx="71">
                        <c:v>46265</c:v>
                      </c:pt>
                      <c:pt idx="72">
                        <c:v>46272</c:v>
                      </c:pt>
                      <c:pt idx="73">
                        <c:v>46279</c:v>
                      </c:pt>
                      <c:pt idx="74">
                        <c:v>46286</c:v>
                      </c:pt>
                      <c:pt idx="75">
                        <c:v>46293</c:v>
                      </c:pt>
                      <c:pt idx="76">
                        <c:v>46300</c:v>
                      </c:pt>
                      <c:pt idx="77">
                        <c:v>46307</c:v>
                      </c:pt>
                      <c:pt idx="78">
                        <c:v>46314</c:v>
                      </c:pt>
                      <c:pt idx="79">
                        <c:v>46321</c:v>
                      </c:pt>
                      <c:pt idx="80">
                        <c:v>46328</c:v>
                      </c:pt>
                      <c:pt idx="81">
                        <c:v>46335</c:v>
                      </c:pt>
                      <c:pt idx="82">
                        <c:v>46342</c:v>
                      </c:pt>
                      <c:pt idx="83">
                        <c:v>46349</c:v>
                      </c:pt>
                      <c:pt idx="84">
                        <c:v>46356</c:v>
                      </c:pt>
                      <c:pt idx="85">
                        <c:v>46363</c:v>
                      </c:pt>
                      <c:pt idx="86">
                        <c:v>46370</c:v>
                      </c:pt>
                      <c:pt idx="87">
                        <c:v>46377</c:v>
                      </c:pt>
                      <c:pt idx="88">
                        <c:v>46384</c:v>
                      </c:pt>
                      <c:pt idx="89">
                        <c:v>46391</c:v>
                      </c:pt>
                      <c:pt idx="90">
                        <c:v>46398</c:v>
                      </c:pt>
                      <c:pt idx="91">
                        <c:v>46405</c:v>
                      </c:pt>
                      <c:pt idx="92">
                        <c:v>46412</c:v>
                      </c:pt>
                      <c:pt idx="93">
                        <c:v>46419</c:v>
                      </c:pt>
                      <c:pt idx="94">
                        <c:v>46426</c:v>
                      </c:pt>
                      <c:pt idx="95">
                        <c:v>46433</c:v>
                      </c:pt>
                      <c:pt idx="96">
                        <c:v>46440</c:v>
                      </c:pt>
                      <c:pt idx="97">
                        <c:v>46447</c:v>
                      </c:pt>
                      <c:pt idx="98">
                        <c:v>46454</c:v>
                      </c:pt>
                      <c:pt idx="99">
                        <c:v>46461</c:v>
                      </c:pt>
                      <c:pt idx="100">
                        <c:v>46468</c:v>
                      </c:pt>
                      <c:pt idx="101">
                        <c:v>46475</c:v>
                      </c:pt>
                      <c:pt idx="102">
                        <c:v>46482</c:v>
                      </c:pt>
                      <c:pt idx="103">
                        <c:v>46489</c:v>
                      </c:pt>
                      <c:pt idx="104">
                        <c:v>46496</c:v>
                      </c:pt>
                      <c:pt idx="105">
                        <c:v>46503</c:v>
                      </c:pt>
                      <c:pt idx="106">
                        <c:v>46510</c:v>
                      </c:pt>
                      <c:pt idx="107">
                        <c:v>46517</c:v>
                      </c:pt>
                      <c:pt idx="108">
                        <c:v>46524</c:v>
                      </c:pt>
                      <c:pt idx="109">
                        <c:v>46531</c:v>
                      </c:pt>
                      <c:pt idx="110">
                        <c:v>46538</c:v>
                      </c:pt>
                      <c:pt idx="111">
                        <c:v>46545</c:v>
                      </c:pt>
                      <c:pt idx="112">
                        <c:v>46552</c:v>
                      </c:pt>
                      <c:pt idx="113">
                        <c:v>46559</c:v>
                      </c:pt>
                      <c:pt idx="114">
                        <c:v>46566</c:v>
                      </c:pt>
                      <c:pt idx="115">
                        <c:v>46573</c:v>
                      </c:pt>
                      <c:pt idx="116">
                        <c:v>46580</c:v>
                      </c:pt>
                      <c:pt idx="117">
                        <c:v>46587</c:v>
                      </c:pt>
                      <c:pt idx="118">
                        <c:v>46594</c:v>
                      </c:pt>
                      <c:pt idx="119">
                        <c:v>46601</c:v>
                      </c:pt>
                      <c:pt idx="120">
                        <c:v>46608</c:v>
                      </c:pt>
                      <c:pt idx="121">
                        <c:v>46615</c:v>
                      </c:pt>
                      <c:pt idx="122">
                        <c:v>46622</c:v>
                      </c:pt>
                      <c:pt idx="123">
                        <c:v>46629</c:v>
                      </c:pt>
                      <c:pt idx="124">
                        <c:v>46636</c:v>
                      </c:pt>
                      <c:pt idx="125">
                        <c:v>46643</c:v>
                      </c:pt>
                      <c:pt idx="126">
                        <c:v>46650</c:v>
                      </c:pt>
                      <c:pt idx="127">
                        <c:v>46657</c:v>
                      </c:pt>
                      <c:pt idx="128">
                        <c:v>46664</c:v>
                      </c:pt>
                      <c:pt idx="129">
                        <c:v>46671</c:v>
                      </c:pt>
                      <c:pt idx="130">
                        <c:v>46678</c:v>
                      </c:pt>
                      <c:pt idx="131">
                        <c:v>46685</c:v>
                      </c:pt>
                      <c:pt idx="132">
                        <c:v>46692</c:v>
                      </c:pt>
                      <c:pt idx="133">
                        <c:v>46699</c:v>
                      </c:pt>
                      <c:pt idx="134">
                        <c:v>46706</c:v>
                      </c:pt>
                      <c:pt idx="135">
                        <c:v>46713</c:v>
                      </c:pt>
                      <c:pt idx="136">
                        <c:v>46720</c:v>
                      </c:pt>
                      <c:pt idx="137">
                        <c:v>46727</c:v>
                      </c:pt>
                      <c:pt idx="138">
                        <c:v>46734</c:v>
                      </c:pt>
                      <c:pt idx="139">
                        <c:v>46741</c:v>
                      </c:pt>
                      <c:pt idx="140">
                        <c:v>46748</c:v>
                      </c:pt>
                    </c:numCache>
                  </c:numRef>
                </c:cat>
                <c:val>
                  <c:numRef>
                    <c:extLst>
                      <c:ext xmlns:c15="http://schemas.microsoft.com/office/drawing/2012/chart" uri="{02D57815-91ED-43cb-92C2-25804820EDAC}">
                        <c15:formulaRef>
                          <c15:sqref>Options!$E$4:$E$92</c15:sqref>
                        </c15:formulaRef>
                      </c:ext>
                    </c:extLst>
                    <c:numCache>
                      <c:formatCode>_(* #,##0.00_);_(* \(#,##0.00\);_(* "-"??_);_(@_)</c:formatCode>
                      <c:ptCount val="89"/>
                      <c:pt idx="0">
                        <c:v>195</c:v>
                      </c:pt>
                      <c:pt idx="1">
                        <c:v>201.84</c:v>
                      </c:pt>
                      <c:pt idx="2">
                        <c:v>208.89000000000001</c:v>
                      </c:pt>
                      <c:pt idx="3">
                        <c:v>216.15</c:v>
                      </c:pt>
                      <c:pt idx="4">
                        <c:v>273.62</c:v>
                      </c:pt>
                      <c:pt idx="5">
                        <c:v>281.32</c:v>
                      </c:pt>
                      <c:pt idx="6">
                        <c:v>339.25</c:v>
                      </c:pt>
                      <c:pt idx="7">
                        <c:v>347.42</c:v>
                      </c:pt>
                      <c:pt idx="8">
                        <c:v>405.83000000000004</c:v>
                      </c:pt>
                      <c:pt idx="9">
                        <c:v>414.49000000000007</c:v>
                      </c:pt>
                      <c:pt idx="10">
                        <c:v>473.41000000000008</c:v>
                      </c:pt>
                      <c:pt idx="11">
                        <c:v>482.60000000000008</c:v>
                      </c:pt>
                      <c:pt idx="12">
                        <c:v>542.07000000000016</c:v>
                      </c:pt>
                      <c:pt idx="13">
                        <c:v>551.82000000000016</c:v>
                      </c:pt>
                      <c:pt idx="14">
                        <c:v>661.86000000000013</c:v>
                      </c:pt>
                      <c:pt idx="15">
                        <c:v>672.21000000000015</c:v>
                      </c:pt>
                      <c:pt idx="16">
                        <c:v>732.87000000000012</c:v>
                      </c:pt>
                      <c:pt idx="17">
                        <c:v>743.85000000000014</c:v>
                      </c:pt>
                      <c:pt idx="18">
                        <c:v>805.16000000000008</c:v>
                      </c:pt>
                      <c:pt idx="19">
                        <c:v>816.80000000000007</c:v>
                      </c:pt>
                      <c:pt idx="20">
                        <c:v>878.79000000000008</c:v>
                      </c:pt>
                      <c:pt idx="21">
                        <c:v>891.1400000000001</c:v>
                      </c:pt>
                      <c:pt idx="22">
                        <c:v>953.86000000000013</c:v>
                      </c:pt>
                      <c:pt idx="23">
                        <c:v>966.97000000000014</c:v>
                      </c:pt>
                      <c:pt idx="24">
                        <c:v>1030.4700000000003</c:v>
                      </c:pt>
                      <c:pt idx="25">
                        <c:v>1044.3700000000003</c:v>
                      </c:pt>
                      <c:pt idx="26">
                        <c:v>1108.6900000000003</c:v>
                      </c:pt>
                      <c:pt idx="27">
                        <c:v>1123.4400000000003</c:v>
                      </c:pt>
                      <c:pt idx="28">
                        <c:v>1188.6300000000003</c:v>
                      </c:pt>
                      <c:pt idx="29">
                        <c:v>1204.2800000000004</c:v>
                      </c:pt>
                      <c:pt idx="30">
                        <c:v>1270.4000000000003</c:v>
                      </c:pt>
                      <c:pt idx="31">
                        <c:v>1387.0000000000002</c:v>
                      </c:pt>
                      <c:pt idx="32">
                        <c:v>1454.1000000000001</c:v>
                      </c:pt>
                      <c:pt idx="33">
                        <c:v>1471.71</c:v>
                      </c:pt>
                      <c:pt idx="34">
                        <c:v>1539.8500000000001</c:v>
                      </c:pt>
                      <c:pt idx="35">
                        <c:v>1558.5400000000002</c:v>
                      </c:pt>
                      <c:pt idx="36">
                        <c:v>1627.7900000000002</c:v>
                      </c:pt>
                      <c:pt idx="37">
                        <c:v>1647.6100000000001</c:v>
                      </c:pt>
                      <c:pt idx="38">
                        <c:v>1768.0300000000002</c:v>
                      </c:pt>
                      <c:pt idx="39">
                        <c:v>1789.0600000000002</c:v>
                      </c:pt>
                      <c:pt idx="40">
                        <c:v>1910.7200000000003</c:v>
                      </c:pt>
                      <c:pt idx="41">
                        <c:v>1933.0300000000002</c:v>
                      </c:pt>
                      <c:pt idx="42">
                        <c:v>2056.0100000000002</c:v>
                      </c:pt>
                      <c:pt idx="43">
                        <c:v>2079.6800000000003</c:v>
                      </c:pt>
                      <c:pt idx="44">
                        <c:v>2204.0600000000004</c:v>
                      </c:pt>
                      <c:pt idx="45">
                        <c:v>2229.1700000000005</c:v>
                      </c:pt>
                      <c:pt idx="46">
                        <c:v>2355.0400000000004</c:v>
                      </c:pt>
                      <c:pt idx="47">
                        <c:v>2381.6800000000003</c:v>
                      </c:pt>
                      <c:pt idx="48">
                        <c:v>2509.1200000000003</c:v>
                      </c:pt>
                      <c:pt idx="49">
                        <c:v>2537.3800000000006</c:v>
                      </c:pt>
                      <c:pt idx="50">
                        <c:v>2666.4900000000007</c:v>
                      </c:pt>
                      <c:pt idx="51">
                        <c:v>2696.4800000000005</c:v>
                      </c:pt>
                      <c:pt idx="52">
                        <c:v>2827.3700000000003</c:v>
                      </c:pt>
                      <c:pt idx="53">
                        <c:v>3059.1800000000003</c:v>
                      </c:pt>
                      <c:pt idx="54">
                        <c:v>3191.9500000000003</c:v>
                      </c:pt>
                      <c:pt idx="55">
                        <c:v>3225.7000000000003</c:v>
                      </c:pt>
                      <c:pt idx="56">
                        <c:v>3360.4600000000005</c:v>
                      </c:pt>
                      <c:pt idx="57">
                        <c:v>3396.2600000000007</c:v>
                      </c:pt>
                      <c:pt idx="58">
                        <c:v>3533.1400000000008</c:v>
                      </c:pt>
                      <c:pt idx="59">
                        <c:v>3571.1300000000006</c:v>
                      </c:pt>
                      <c:pt idx="60">
                        <c:v>3810.2500000000005</c:v>
                      </c:pt>
                      <c:pt idx="61">
                        <c:v>3965.5500000000006</c:v>
                      </c:pt>
                      <c:pt idx="62">
                        <c:v>4257.0600000000013</c:v>
                      </c:pt>
                      <c:pt idx="63">
                        <c:v>4299.8100000000013</c:v>
                      </c:pt>
                      <c:pt idx="64">
                        <c:v>4443.8500000000013</c:v>
                      </c:pt>
                      <c:pt idx="65">
                        <c:v>4489.2100000000009</c:v>
                      </c:pt>
                      <c:pt idx="66">
                        <c:v>4635.9300000000012</c:v>
                      </c:pt>
                      <c:pt idx="67">
                        <c:v>4684.0500000000011</c:v>
                      </c:pt>
                      <c:pt idx="68">
                        <c:v>4833.6100000000015</c:v>
                      </c:pt>
                      <c:pt idx="69">
                        <c:v>4884.6600000000017</c:v>
                      </c:pt>
                      <c:pt idx="70">
                        <c:v>5037.2400000000016</c:v>
                      </c:pt>
                      <c:pt idx="71">
                        <c:v>5091.4000000000015</c:v>
                      </c:pt>
                      <c:pt idx="72">
                        <c:v>5247.1800000000012</c:v>
                      </c:pt>
                      <c:pt idx="73">
                        <c:v>5304.6400000000012</c:v>
                      </c:pt>
                      <c:pt idx="74">
                        <c:v>5463.8200000000015</c:v>
                      </c:pt>
                      <c:pt idx="75">
                        <c:v>5524.7800000000016</c:v>
                      </c:pt>
                      <c:pt idx="76">
                        <c:v>5687.5600000000013</c:v>
                      </c:pt>
                      <c:pt idx="77">
                        <c:v>5752.2300000000014</c:v>
                      </c:pt>
                      <c:pt idx="78">
                        <c:v>5918.8400000000011</c:v>
                      </c:pt>
                      <c:pt idx="79">
                        <c:v>5987.4500000000007</c:v>
                      </c:pt>
                      <c:pt idx="80">
                        <c:v>6158.1100000000006</c:v>
                      </c:pt>
                      <c:pt idx="81">
                        <c:v>6230.89</c:v>
                      </c:pt>
                      <c:pt idx="82">
                        <c:v>6405.8600000000006</c:v>
                      </c:pt>
                      <c:pt idx="83">
                        <c:v>6483.0800000000008</c:v>
                      </c:pt>
                      <c:pt idx="84">
                        <c:v>6662.6100000000006</c:v>
                      </c:pt>
                      <c:pt idx="85">
                        <c:v>6744.5300000000007</c:v>
                      </c:pt>
                      <c:pt idx="86">
                        <c:v>6928.9100000000008</c:v>
                      </c:pt>
                      <c:pt idx="87">
                        <c:v>7015.8200000000006</c:v>
                      </c:pt>
                      <c:pt idx="88">
                        <c:v>7205.3300000000008</c:v>
                      </c:pt>
                    </c:numCache>
                  </c:numRef>
                </c:val>
                <c:extLst xmlns:c15="http://schemas.microsoft.com/office/drawing/2012/chart">
                  <c:ext xmlns:c16="http://schemas.microsoft.com/office/drawing/2014/chart" uri="{C3380CC4-5D6E-409C-BE32-E72D297353CC}">
                    <c16:uniqueId val="{00000004-D3E0-4C7F-AA1B-0222394FA261}"/>
                  </c:ext>
                </c:extLst>
              </c15:ser>
            </c15:filteredBarSeries>
            <c15:filteredBarSeries>
              <c15:ser>
                <c:idx val="3"/>
                <c:order val="3"/>
                <c:tx>
                  <c:strRef>
                    <c:extLst>
                      <c:ext xmlns:c15="http://schemas.microsoft.com/office/drawing/2012/chart" uri="{02D57815-91ED-43cb-92C2-25804820EDAC}">
                        <c15:formulaRef>
                          <c15:sqref>Options!$H$3</c15:sqref>
                        </c15:formulaRef>
                      </c:ext>
                    </c:extLst>
                    <c:strCache>
                      <c:ptCount val="1"/>
                      <c:pt idx="0">
                        <c:v>Deposits</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numRef>
                    <c:extLst>
                      <c:ext xmlns:c15="http://schemas.microsoft.com/office/drawing/2012/chart" uri="{02D57815-91ED-43cb-92C2-25804820EDAC}">
                        <c15:formulaRef>
                          <c15:sqref>Options!$C$4:$C$144</c15:sqref>
                        </c15:formulaRef>
                      </c:ext>
                    </c:extLst>
                    <c:numCache>
                      <c:formatCode>m/d/yyyy</c:formatCode>
                      <c:ptCount val="141"/>
                      <c:pt idx="0">
                        <c:v>45768</c:v>
                      </c:pt>
                      <c:pt idx="1">
                        <c:v>45775</c:v>
                      </c:pt>
                      <c:pt idx="2">
                        <c:v>45782</c:v>
                      </c:pt>
                      <c:pt idx="3">
                        <c:v>45789</c:v>
                      </c:pt>
                      <c:pt idx="4">
                        <c:v>45796</c:v>
                      </c:pt>
                      <c:pt idx="5">
                        <c:v>45803</c:v>
                      </c:pt>
                      <c:pt idx="6">
                        <c:v>45810</c:v>
                      </c:pt>
                      <c:pt idx="7">
                        <c:v>45817</c:v>
                      </c:pt>
                      <c:pt idx="8">
                        <c:v>45824</c:v>
                      </c:pt>
                      <c:pt idx="9">
                        <c:v>45831</c:v>
                      </c:pt>
                      <c:pt idx="10">
                        <c:v>45838</c:v>
                      </c:pt>
                      <c:pt idx="11">
                        <c:v>45845</c:v>
                      </c:pt>
                      <c:pt idx="12">
                        <c:v>45852</c:v>
                      </c:pt>
                      <c:pt idx="13">
                        <c:v>45859</c:v>
                      </c:pt>
                      <c:pt idx="14">
                        <c:v>45866</c:v>
                      </c:pt>
                      <c:pt idx="15">
                        <c:v>45873</c:v>
                      </c:pt>
                      <c:pt idx="16">
                        <c:v>45880</c:v>
                      </c:pt>
                      <c:pt idx="17">
                        <c:v>45887</c:v>
                      </c:pt>
                      <c:pt idx="18">
                        <c:v>45894</c:v>
                      </c:pt>
                      <c:pt idx="19">
                        <c:v>45901</c:v>
                      </c:pt>
                      <c:pt idx="20">
                        <c:v>45908</c:v>
                      </c:pt>
                      <c:pt idx="21">
                        <c:v>45915</c:v>
                      </c:pt>
                      <c:pt idx="22">
                        <c:v>45922</c:v>
                      </c:pt>
                      <c:pt idx="23">
                        <c:v>45929</c:v>
                      </c:pt>
                      <c:pt idx="24">
                        <c:v>45936</c:v>
                      </c:pt>
                      <c:pt idx="25">
                        <c:v>45943</c:v>
                      </c:pt>
                      <c:pt idx="26">
                        <c:v>45950</c:v>
                      </c:pt>
                      <c:pt idx="27">
                        <c:v>45957</c:v>
                      </c:pt>
                      <c:pt idx="28">
                        <c:v>45964</c:v>
                      </c:pt>
                      <c:pt idx="29">
                        <c:v>45971</c:v>
                      </c:pt>
                      <c:pt idx="30">
                        <c:v>45978</c:v>
                      </c:pt>
                      <c:pt idx="31">
                        <c:v>45985</c:v>
                      </c:pt>
                      <c:pt idx="32">
                        <c:v>45992</c:v>
                      </c:pt>
                      <c:pt idx="33">
                        <c:v>45999</c:v>
                      </c:pt>
                      <c:pt idx="34">
                        <c:v>46006</c:v>
                      </c:pt>
                      <c:pt idx="35">
                        <c:v>46013</c:v>
                      </c:pt>
                      <c:pt idx="36">
                        <c:v>46020</c:v>
                      </c:pt>
                      <c:pt idx="37">
                        <c:v>46027</c:v>
                      </c:pt>
                      <c:pt idx="38">
                        <c:v>46034</c:v>
                      </c:pt>
                      <c:pt idx="39">
                        <c:v>46041</c:v>
                      </c:pt>
                      <c:pt idx="40">
                        <c:v>46048</c:v>
                      </c:pt>
                      <c:pt idx="41">
                        <c:v>46055</c:v>
                      </c:pt>
                      <c:pt idx="42">
                        <c:v>46062</c:v>
                      </c:pt>
                      <c:pt idx="43">
                        <c:v>46069</c:v>
                      </c:pt>
                      <c:pt idx="44">
                        <c:v>46076</c:v>
                      </c:pt>
                      <c:pt idx="45">
                        <c:v>46083</c:v>
                      </c:pt>
                      <c:pt idx="46">
                        <c:v>46090</c:v>
                      </c:pt>
                      <c:pt idx="47">
                        <c:v>46097</c:v>
                      </c:pt>
                      <c:pt idx="48">
                        <c:v>46104</c:v>
                      </c:pt>
                      <c:pt idx="49">
                        <c:v>46111</c:v>
                      </c:pt>
                      <c:pt idx="50">
                        <c:v>46118</c:v>
                      </c:pt>
                      <c:pt idx="51">
                        <c:v>46125</c:v>
                      </c:pt>
                      <c:pt idx="52">
                        <c:v>46132</c:v>
                      </c:pt>
                      <c:pt idx="53">
                        <c:v>46139</c:v>
                      </c:pt>
                      <c:pt idx="54">
                        <c:v>46146</c:v>
                      </c:pt>
                      <c:pt idx="55">
                        <c:v>46153</c:v>
                      </c:pt>
                      <c:pt idx="56">
                        <c:v>46160</c:v>
                      </c:pt>
                      <c:pt idx="57">
                        <c:v>46167</c:v>
                      </c:pt>
                      <c:pt idx="58">
                        <c:v>46174</c:v>
                      </c:pt>
                      <c:pt idx="59">
                        <c:v>46181</c:v>
                      </c:pt>
                      <c:pt idx="60">
                        <c:v>46188</c:v>
                      </c:pt>
                      <c:pt idx="61">
                        <c:v>46195</c:v>
                      </c:pt>
                      <c:pt idx="62">
                        <c:v>46202</c:v>
                      </c:pt>
                      <c:pt idx="63">
                        <c:v>46209</c:v>
                      </c:pt>
                      <c:pt idx="64">
                        <c:v>46216</c:v>
                      </c:pt>
                      <c:pt idx="65">
                        <c:v>46223</c:v>
                      </c:pt>
                      <c:pt idx="66">
                        <c:v>46230</c:v>
                      </c:pt>
                      <c:pt idx="67">
                        <c:v>46237</c:v>
                      </c:pt>
                      <c:pt idx="68">
                        <c:v>46244</c:v>
                      </c:pt>
                      <c:pt idx="69">
                        <c:v>46251</c:v>
                      </c:pt>
                      <c:pt idx="70">
                        <c:v>46258</c:v>
                      </c:pt>
                      <c:pt idx="71">
                        <c:v>46265</c:v>
                      </c:pt>
                      <c:pt idx="72">
                        <c:v>46272</c:v>
                      </c:pt>
                      <c:pt idx="73">
                        <c:v>46279</c:v>
                      </c:pt>
                      <c:pt idx="74">
                        <c:v>46286</c:v>
                      </c:pt>
                      <c:pt idx="75">
                        <c:v>46293</c:v>
                      </c:pt>
                      <c:pt idx="76">
                        <c:v>46300</c:v>
                      </c:pt>
                      <c:pt idx="77">
                        <c:v>46307</c:v>
                      </c:pt>
                      <c:pt idx="78">
                        <c:v>46314</c:v>
                      </c:pt>
                      <c:pt idx="79">
                        <c:v>46321</c:v>
                      </c:pt>
                      <c:pt idx="80">
                        <c:v>46328</c:v>
                      </c:pt>
                      <c:pt idx="81">
                        <c:v>46335</c:v>
                      </c:pt>
                      <c:pt idx="82">
                        <c:v>46342</c:v>
                      </c:pt>
                      <c:pt idx="83">
                        <c:v>46349</c:v>
                      </c:pt>
                      <c:pt idx="84">
                        <c:v>46356</c:v>
                      </c:pt>
                      <c:pt idx="85">
                        <c:v>46363</c:v>
                      </c:pt>
                      <c:pt idx="86">
                        <c:v>46370</c:v>
                      </c:pt>
                      <c:pt idx="87">
                        <c:v>46377</c:v>
                      </c:pt>
                      <c:pt idx="88">
                        <c:v>46384</c:v>
                      </c:pt>
                      <c:pt idx="89">
                        <c:v>46391</c:v>
                      </c:pt>
                      <c:pt idx="90">
                        <c:v>46398</c:v>
                      </c:pt>
                      <c:pt idx="91">
                        <c:v>46405</c:v>
                      </c:pt>
                      <c:pt idx="92">
                        <c:v>46412</c:v>
                      </c:pt>
                      <c:pt idx="93">
                        <c:v>46419</c:v>
                      </c:pt>
                      <c:pt idx="94">
                        <c:v>46426</c:v>
                      </c:pt>
                      <c:pt idx="95">
                        <c:v>46433</c:v>
                      </c:pt>
                      <c:pt idx="96">
                        <c:v>46440</c:v>
                      </c:pt>
                      <c:pt idx="97">
                        <c:v>46447</c:v>
                      </c:pt>
                      <c:pt idx="98">
                        <c:v>46454</c:v>
                      </c:pt>
                      <c:pt idx="99">
                        <c:v>46461</c:v>
                      </c:pt>
                      <c:pt idx="100">
                        <c:v>46468</c:v>
                      </c:pt>
                      <c:pt idx="101">
                        <c:v>46475</c:v>
                      </c:pt>
                      <c:pt idx="102">
                        <c:v>46482</c:v>
                      </c:pt>
                      <c:pt idx="103">
                        <c:v>46489</c:v>
                      </c:pt>
                      <c:pt idx="104">
                        <c:v>46496</c:v>
                      </c:pt>
                      <c:pt idx="105">
                        <c:v>46503</c:v>
                      </c:pt>
                      <c:pt idx="106">
                        <c:v>46510</c:v>
                      </c:pt>
                      <c:pt idx="107">
                        <c:v>46517</c:v>
                      </c:pt>
                      <c:pt idx="108">
                        <c:v>46524</c:v>
                      </c:pt>
                      <c:pt idx="109">
                        <c:v>46531</c:v>
                      </c:pt>
                      <c:pt idx="110">
                        <c:v>46538</c:v>
                      </c:pt>
                      <c:pt idx="111">
                        <c:v>46545</c:v>
                      </c:pt>
                      <c:pt idx="112">
                        <c:v>46552</c:v>
                      </c:pt>
                      <c:pt idx="113">
                        <c:v>46559</c:v>
                      </c:pt>
                      <c:pt idx="114">
                        <c:v>46566</c:v>
                      </c:pt>
                      <c:pt idx="115">
                        <c:v>46573</c:v>
                      </c:pt>
                      <c:pt idx="116">
                        <c:v>46580</c:v>
                      </c:pt>
                      <c:pt idx="117">
                        <c:v>46587</c:v>
                      </c:pt>
                      <c:pt idx="118">
                        <c:v>46594</c:v>
                      </c:pt>
                      <c:pt idx="119">
                        <c:v>46601</c:v>
                      </c:pt>
                      <c:pt idx="120">
                        <c:v>46608</c:v>
                      </c:pt>
                      <c:pt idx="121">
                        <c:v>46615</c:v>
                      </c:pt>
                      <c:pt idx="122">
                        <c:v>46622</c:v>
                      </c:pt>
                      <c:pt idx="123">
                        <c:v>46629</c:v>
                      </c:pt>
                      <c:pt idx="124">
                        <c:v>46636</c:v>
                      </c:pt>
                      <c:pt idx="125">
                        <c:v>46643</c:v>
                      </c:pt>
                      <c:pt idx="126">
                        <c:v>46650</c:v>
                      </c:pt>
                      <c:pt idx="127">
                        <c:v>46657</c:v>
                      </c:pt>
                      <c:pt idx="128">
                        <c:v>46664</c:v>
                      </c:pt>
                      <c:pt idx="129">
                        <c:v>46671</c:v>
                      </c:pt>
                      <c:pt idx="130">
                        <c:v>46678</c:v>
                      </c:pt>
                      <c:pt idx="131">
                        <c:v>46685</c:v>
                      </c:pt>
                      <c:pt idx="132">
                        <c:v>46692</c:v>
                      </c:pt>
                      <c:pt idx="133">
                        <c:v>46699</c:v>
                      </c:pt>
                      <c:pt idx="134">
                        <c:v>46706</c:v>
                      </c:pt>
                      <c:pt idx="135">
                        <c:v>46713</c:v>
                      </c:pt>
                      <c:pt idx="136">
                        <c:v>46720</c:v>
                      </c:pt>
                      <c:pt idx="137">
                        <c:v>46727</c:v>
                      </c:pt>
                      <c:pt idx="138">
                        <c:v>46734</c:v>
                      </c:pt>
                      <c:pt idx="139">
                        <c:v>46741</c:v>
                      </c:pt>
                      <c:pt idx="140">
                        <c:v>46748</c:v>
                      </c:pt>
                    </c:numCache>
                  </c:numRef>
                </c:cat>
                <c:val>
                  <c:numRef>
                    <c:extLst>
                      <c:ext xmlns:c15="http://schemas.microsoft.com/office/drawing/2012/chart" uri="{02D57815-91ED-43cb-92C2-25804820EDAC}">
                        <c15:formulaRef>
                          <c15:sqref>Options!$H$4:$H$92</c15:sqref>
                        </c15:formulaRef>
                      </c:ext>
                    </c:extLst>
                    <c:numCache>
                      <c:formatCode>_(* #,##0.00_);_(* \(#,##0.00\);_(* "-"??_);_(@_)</c:formatCode>
                      <c:ptCount val="89"/>
                      <c:pt idx="0">
                        <c:v>0</c:v>
                      </c:pt>
                      <c:pt idx="1">
                        <c:v>0</c:v>
                      </c:pt>
                      <c:pt idx="2">
                        <c:v>0</c:v>
                      </c:pt>
                      <c:pt idx="3">
                        <c:v>50</c:v>
                      </c:pt>
                      <c:pt idx="4">
                        <c:v>0</c:v>
                      </c:pt>
                      <c:pt idx="5">
                        <c:v>50</c:v>
                      </c:pt>
                      <c:pt idx="6">
                        <c:v>0</c:v>
                      </c:pt>
                      <c:pt idx="7">
                        <c:v>50</c:v>
                      </c:pt>
                      <c:pt idx="8">
                        <c:v>0</c:v>
                      </c:pt>
                      <c:pt idx="9">
                        <c:v>50</c:v>
                      </c:pt>
                      <c:pt idx="10">
                        <c:v>0</c:v>
                      </c:pt>
                      <c:pt idx="11">
                        <c:v>50</c:v>
                      </c:pt>
                      <c:pt idx="12">
                        <c:v>0</c:v>
                      </c:pt>
                      <c:pt idx="13">
                        <c:v>100</c:v>
                      </c:pt>
                      <c:pt idx="14">
                        <c:v>0</c:v>
                      </c:pt>
                      <c:pt idx="15">
                        <c:v>50</c:v>
                      </c:pt>
                      <c:pt idx="16">
                        <c:v>0</c:v>
                      </c:pt>
                      <c:pt idx="17">
                        <c:v>50</c:v>
                      </c:pt>
                      <c:pt idx="18">
                        <c:v>0</c:v>
                      </c:pt>
                      <c:pt idx="19">
                        <c:v>50</c:v>
                      </c:pt>
                      <c:pt idx="20">
                        <c:v>0</c:v>
                      </c:pt>
                      <c:pt idx="21">
                        <c:v>50</c:v>
                      </c:pt>
                      <c:pt idx="22">
                        <c:v>0</c:v>
                      </c:pt>
                      <c:pt idx="23">
                        <c:v>50</c:v>
                      </c:pt>
                      <c:pt idx="24">
                        <c:v>0</c:v>
                      </c:pt>
                      <c:pt idx="25">
                        <c:v>50</c:v>
                      </c:pt>
                      <c:pt idx="26">
                        <c:v>0</c:v>
                      </c:pt>
                      <c:pt idx="27">
                        <c:v>50</c:v>
                      </c:pt>
                      <c:pt idx="28">
                        <c:v>0</c:v>
                      </c:pt>
                      <c:pt idx="29">
                        <c:v>50</c:v>
                      </c:pt>
                      <c:pt idx="30">
                        <c:v>100</c:v>
                      </c:pt>
                      <c:pt idx="31">
                        <c:v>50</c:v>
                      </c:pt>
                      <c:pt idx="32">
                        <c:v>0</c:v>
                      </c:pt>
                      <c:pt idx="33">
                        <c:v>50</c:v>
                      </c:pt>
                      <c:pt idx="34">
                        <c:v>0</c:v>
                      </c:pt>
                      <c:pt idx="35">
                        <c:v>50</c:v>
                      </c:pt>
                      <c:pt idx="36">
                        <c:v>0</c:v>
                      </c:pt>
                      <c:pt idx="37">
                        <c:v>100</c:v>
                      </c:pt>
                      <c:pt idx="38">
                        <c:v>0</c:v>
                      </c:pt>
                      <c:pt idx="39">
                        <c:v>100</c:v>
                      </c:pt>
                      <c:pt idx="40">
                        <c:v>0</c:v>
                      </c:pt>
                      <c:pt idx="41">
                        <c:v>100</c:v>
                      </c:pt>
                      <c:pt idx="42">
                        <c:v>0</c:v>
                      </c:pt>
                      <c:pt idx="43">
                        <c:v>100</c:v>
                      </c:pt>
                      <c:pt idx="44">
                        <c:v>0</c:v>
                      </c:pt>
                      <c:pt idx="45">
                        <c:v>100</c:v>
                      </c:pt>
                      <c:pt idx="46">
                        <c:v>0</c:v>
                      </c:pt>
                      <c:pt idx="47">
                        <c:v>100</c:v>
                      </c:pt>
                      <c:pt idx="48">
                        <c:v>0</c:v>
                      </c:pt>
                      <c:pt idx="49">
                        <c:v>100</c:v>
                      </c:pt>
                      <c:pt idx="50">
                        <c:v>0</c:v>
                      </c:pt>
                      <c:pt idx="51">
                        <c:v>100</c:v>
                      </c:pt>
                      <c:pt idx="52">
                        <c:v>200</c:v>
                      </c:pt>
                      <c:pt idx="53">
                        <c:v>100</c:v>
                      </c:pt>
                      <c:pt idx="54">
                        <c:v>0</c:v>
                      </c:pt>
                      <c:pt idx="55">
                        <c:v>100</c:v>
                      </c:pt>
                      <c:pt idx="56">
                        <c:v>0</c:v>
                      </c:pt>
                      <c:pt idx="57">
                        <c:v>100</c:v>
                      </c:pt>
                      <c:pt idx="58">
                        <c:v>0</c:v>
                      </c:pt>
                      <c:pt idx="59">
                        <c:v>200</c:v>
                      </c:pt>
                      <c:pt idx="60">
                        <c:v>115</c:v>
                      </c:pt>
                      <c:pt idx="61">
                        <c:v>250</c:v>
                      </c:pt>
                      <c:pt idx="62">
                        <c:v>0</c:v>
                      </c:pt>
                      <c:pt idx="63">
                        <c:v>100</c:v>
                      </c:pt>
                      <c:pt idx="64">
                        <c:v>0</c:v>
                      </c:pt>
                      <c:pt idx="65">
                        <c:v>100</c:v>
                      </c:pt>
                      <c:pt idx="66">
                        <c:v>0</c:v>
                      </c:pt>
                      <c:pt idx="67">
                        <c:v>100</c:v>
                      </c:pt>
                      <c:pt idx="68">
                        <c:v>0</c:v>
                      </c:pt>
                      <c:pt idx="69">
                        <c:v>100</c:v>
                      </c:pt>
                      <c:pt idx="70">
                        <c:v>0</c:v>
                      </c:pt>
                      <c:pt idx="71">
                        <c:v>100</c:v>
                      </c:pt>
                      <c:pt idx="72">
                        <c:v>0</c:v>
                      </c:pt>
                      <c:pt idx="73">
                        <c:v>100</c:v>
                      </c:pt>
                      <c:pt idx="74">
                        <c:v>0</c:v>
                      </c:pt>
                      <c:pt idx="75">
                        <c:v>100</c:v>
                      </c:pt>
                      <c:pt idx="76">
                        <c:v>0</c:v>
                      </c:pt>
                      <c:pt idx="77">
                        <c:v>100</c:v>
                      </c:pt>
                      <c:pt idx="78">
                        <c:v>0</c:v>
                      </c:pt>
                      <c:pt idx="79">
                        <c:v>100</c:v>
                      </c:pt>
                      <c:pt idx="80">
                        <c:v>0</c:v>
                      </c:pt>
                      <c:pt idx="81">
                        <c:v>100</c:v>
                      </c:pt>
                      <c:pt idx="82">
                        <c:v>0</c:v>
                      </c:pt>
                      <c:pt idx="83">
                        <c:v>100</c:v>
                      </c:pt>
                      <c:pt idx="84">
                        <c:v>0</c:v>
                      </c:pt>
                      <c:pt idx="85">
                        <c:v>100</c:v>
                      </c:pt>
                      <c:pt idx="86">
                        <c:v>0</c:v>
                      </c:pt>
                      <c:pt idx="87">
                        <c:v>100</c:v>
                      </c:pt>
                      <c:pt idx="88">
                        <c:v>0</c:v>
                      </c:pt>
                    </c:numCache>
                  </c:numRef>
                </c:val>
                <c:extLst xmlns:c15="http://schemas.microsoft.com/office/drawing/2012/chart">
                  <c:ext xmlns:c16="http://schemas.microsoft.com/office/drawing/2014/chart" uri="{C3380CC4-5D6E-409C-BE32-E72D297353CC}">
                    <c16:uniqueId val="{00000006-D3E0-4C7F-AA1B-0222394FA261}"/>
                  </c:ext>
                </c:extLst>
              </c15:ser>
            </c15:filteredBarSeries>
          </c:ext>
        </c:extLst>
      </c:barChart>
      <c:lineChart>
        <c:grouping val="standard"/>
        <c:varyColors val="0"/>
        <c:ser>
          <c:idx val="5"/>
          <c:order val="5"/>
          <c:tx>
            <c:v>Actual Balance</c:v>
          </c:tx>
          <c:spPr>
            <a:ln w="19050" cap="rnd">
              <a:solidFill>
                <a:schemeClr val="accent6"/>
              </a:solidFill>
              <a:round/>
            </a:ln>
            <a:effectLst/>
          </c:spPr>
          <c:marker>
            <c:symbol val="none"/>
          </c:marker>
          <c:cat>
            <c:numRef>
              <c:f>Options!$C$4:$C$92</c:f>
              <c:numCache>
                <c:formatCode>m/d/yyyy</c:formatCode>
                <c:ptCount val="89"/>
                <c:pt idx="0">
                  <c:v>45768</c:v>
                </c:pt>
                <c:pt idx="1">
                  <c:v>45775</c:v>
                </c:pt>
                <c:pt idx="2">
                  <c:v>45782</c:v>
                </c:pt>
                <c:pt idx="3">
                  <c:v>45789</c:v>
                </c:pt>
                <c:pt idx="4">
                  <c:v>45796</c:v>
                </c:pt>
                <c:pt idx="5">
                  <c:v>45803</c:v>
                </c:pt>
                <c:pt idx="6">
                  <c:v>45810</c:v>
                </c:pt>
                <c:pt idx="7">
                  <c:v>45817</c:v>
                </c:pt>
                <c:pt idx="8">
                  <c:v>45824</c:v>
                </c:pt>
                <c:pt idx="9">
                  <c:v>45831</c:v>
                </c:pt>
                <c:pt idx="10">
                  <c:v>45838</c:v>
                </c:pt>
                <c:pt idx="11">
                  <c:v>45845</c:v>
                </c:pt>
                <c:pt idx="12">
                  <c:v>45852</c:v>
                </c:pt>
                <c:pt idx="13">
                  <c:v>45859</c:v>
                </c:pt>
                <c:pt idx="14">
                  <c:v>45866</c:v>
                </c:pt>
                <c:pt idx="15">
                  <c:v>45873</c:v>
                </c:pt>
                <c:pt idx="16">
                  <c:v>45880</c:v>
                </c:pt>
                <c:pt idx="17">
                  <c:v>45887</c:v>
                </c:pt>
                <c:pt idx="18">
                  <c:v>45894</c:v>
                </c:pt>
                <c:pt idx="19">
                  <c:v>45901</c:v>
                </c:pt>
                <c:pt idx="20">
                  <c:v>45908</c:v>
                </c:pt>
                <c:pt idx="21">
                  <c:v>45915</c:v>
                </c:pt>
                <c:pt idx="22">
                  <c:v>45922</c:v>
                </c:pt>
                <c:pt idx="23">
                  <c:v>45929</c:v>
                </c:pt>
                <c:pt idx="24">
                  <c:v>45936</c:v>
                </c:pt>
                <c:pt idx="25">
                  <c:v>45943</c:v>
                </c:pt>
                <c:pt idx="26">
                  <c:v>45950</c:v>
                </c:pt>
                <c:pt idx="27">
                  <c:v>45957</c:v>
                </c:pt>
                <c:pt idx="28">
                  <c:v>45964</c:v>
                </c:pt>
                <c:pt idx="29">
                  <c:v>45971</c:v>
                </c:pt>
                <c:pt idx="30">
                  <c:v>45978</c:v>
                </c:pt>
                <c:pt idx="31">
                  <c:v>45985</c:v>
                </c:pt>
                <c:pt idx="32">
                  <c:v>45992</c:v>
                </c:pt>
                <c:pt idx="33">
                  <c:v>45999</c:v>
                </c:pt>
                <c:pt idx="34">
                  <c:v>46006</c:v>
                </c:pt>
                <c:pt idx="35">
                  <c:v>46013</c:v>
                </c:pt>
                <c:pt idx="36">
                  <c:v>46020</c:v>
                </c:pt>
                <c:pt idx="37">
                  <c:v>46027</c:v>
                </c:pt>
                <c:pt idx="38">
                  <c:v>46034</c:v>
                </c:pt>
                <c:pt idx="39">
                  <c:v>46041</c:v>
                </c:pt>
                <c:pt idx="40">
                  <c:v>46048</c:v>
                </c:pt>
                <c:pt idx="41">
                  <c:v>46055</c:v>
                </c:pt>
                <c:pt idx="42">
                  <c:v>46062</c:v>
                </c:pt>
                <c:pt idx="43">
                  <c:v>46069</c:v>
                </c:pt>
                <c:pt idx="44">
                  <c:v>46076</c:v>
                </c:pt>
                <c:pt idx="45">
                  <c:v>46083</c:v>
                </c:pt>
                <c:pt idx="46">
                  <c:v>46090</c:v>
                </c:pt>
                <c:pt idx="47">
                  <c:v>46097</c:v>
                </c:pt>
                <c:pt idx="48">
                  <c:v>46104</c:v>
                </c:pt>
                <c:pt idx="49">
                  <c:v>46111</c:v>
                </c:pt>
                <c:pt idx="50">
                  <c:v>46118</c:v>
                </c:pt>
                <c:pt idx="51">
                  <c:v>46125</c:v>
                </c:pt>
                <c:pt idx="52">
                  <c:v>46132</c:v>
                </c:pt>
                <c:pt idx="53">
                  <c:v>46139</c:v>
                </c:pt>
                <c:pt idx="54">
                  <c:v>46146</c:v>
                </c:pt>
                <c:pt idx="55">
                  <c:v>46153</c:v>
                </c:pt>
                <c:pt idx="56">
                  <c:v>46160</c:v>
                </c:pt>
                <c:pt idx="57">
                  <c:v>46167</c:v>
                </c:pt>
                <c:pt idx="58">
                  <c:v>46174</c:v>
                </c:pt>
                <c:pt idx="59">
                  <c:v>46181</c:v>
                </c:pt>
                <c:pt idx="60">
                  <c:v>46188</c:v>
                </c:pt>
                <c:pt idx="61">
                  <c:v>46195</c:v>
                </c:pt>
                <c:pt idx="62">
                  <c:v>46202</c:v>
                </c:pt>
                <c:pt idx="63">
                  <c:v>46209</c:v>
                </c:pt>
                <c:pt idx="64">
                  <c:v>46216</c:v>
                </c:pt>
                <c:pt idx="65">
                  <c:v>46223</c:v>
                </c:pt>
                <c:pt idx="66">
                  <c:v>46230</c:v>
                </c:pt>
                <c:pt idx="67">
                  <c:v>46237</c:v>
                </c:pt>
                <c:pt idx="68">
                  <c:v>46244</c:v>
                </c:pt>
                <c:pt idx="69">
                  <c:v>46251</c:v>
                </c:pt>
                <c:pt idx="70">
                  <c:v>46258</c:v>
                </c:pt>
                <c:pt idx="71">
                  <c:v>46265</c:v>
                </c:pt>
                <c:pt idx="72">
                  <c:v>46272</c:v>
                </c:pt>
                <c:pt idx="73">
                  <c:v>46279</c:v>
                </c:pt>
                <c:pt idx="74">
                  <c:v>46286</c:v>
                </c:pt>
                <c:pt idx="75">
                  <c:v>46293</c:v>
                </c:pt>
                <c:pt idx="76">
                  <c:v>46300</c:v>
                </c:pt>
                <c:pt idx="77">
                  <c:v>46307</c:v>
                </c:pt>
                <c:pt idx="78">
                  <c:v>46314</c:v>
                </c:pt>
                <c:pt idx="79">
                  <c:v>46321</c:v>
                </c:pt>
                <c:pt idx="80">
                  <c:v>46328</c:v>
                </c:pt>
                <c:pt idx="81">
                  <c:v>46335</c:v>
                </c:pt>
                <c:pt idx="82">
                  <c:v>46342</c:v>
                </c:pt>
                <c:pt idx="83">
                  <c:v>46349</c:v>
                </c:pt>
                <c:pt idx="84">
                  <c:v>46356</c:v>
                </c:pt>
                <c:pt idx="85">
                  <c:v>46363</c:v>
                </c:pt>
                <c:pt idx="86">
                  <c:v>46370</c:v>
                </c:pt>
                <c:pt idx="87">
                  <c:v>46377</c:v>
                </c:pt>
                <c:pt idx="88">
                  <c:v>46384</c:v>
                </c:pt>
              </c:numCache>
            </c:numRef>
          </c:cat>
          <c:val>
            <c:numRef>
              <c:f>Options!$T$4:$T$92</c:f>
              <c:numCache>
                <c:formatCode>_(* #,##0.00_);_(* \(#,##0.00\);_(* "-"??_);_(@_)</c:formatCode>
                <c:ptCount val="89"/>
                <c:pt idx="0">
                  <c:v>228.5</c:v>
                </c:pt>
                <c:pt idx="1">
                  <c:v>177.04</c:v>
                </c:pt>
                <c:pt idx="2">
                  <c:v>0</c:v>
                </c:pt>
                <c:pt idx="3">
                  <c:v>50</c:v>
                </c:pt>
                <c:pt idx="4">
                  <c:v>50</c:v>
                </c:pt>
                <c:pt idx="5">
                  <c:v>100</c:v>
                </c:pt>
                <c:pt idx="6">
                  <c:v>171.95999999999998</c:v>
                </c:pt>
                <c:pt idx="7">
                  <c:v>326.84999999999997</c:v>
                </c:pt>
                <c:pt idx="8">
                  <c:v>436.65999999999997</c:v>
                </c:pt>
                <c:pt idx="9">
                  <c:v>61.649999999999977</c:v>
                </c:pt>
                <c:pt idx="10">
                  <c:v>61.649999999999977</c:v>
                </c:pt>
                <c:pt idx="11">
                  <c:v>111.64999999999998</c:v>
                </c:pt>
                <c:pt idx="12">
                  <c:v>111.64999999999998</c:v>
                </c:pt>
                <c:pt idx="13">
                  <c:v>211.64999999999998</c:v>
                </c:pt>
                <c:pt idx="14">
                  <c:v>211.64999999999998</c:v>
                </c:pt>
                <c:pt idx="15">
                  <c:v>687.37</c:v>
                </c:pt>
                <c:pt idx="16">
                  <c:v>1238.98</c:v>
                </c:pt>
                <c:pt idx="17">
                  <c:v>1277.98</c:v>
                </c:pt>
                <c:pt idx="18">
                  <c:v>177.98000000000002</c:v>
                </c:pt>
                <c:pt idx="19">
                  <c:v>227.98000000000002</c:v>
                </c:pt>
                <c:pt idx="20">
                  <c:v>227.98000000000002</c:v>
                </c:pt>
                <c:pt idx="21">
                  <c:v>277.98</c:v>
                </c:pt>
                <c:pt idx="22">
                  <c:v>277.98</c:v>
                </c:pt>
                <c:pt idx="23">
                  <c:v>127.98000000000002</c:v>
                </c:pt>
                <c:pt idx="24">
                  <c:v>127.98000000000002</c:v>
                </c:pt>
                <c:pt idx="25">
                  <c:v>177.98000000000002</c:v>
                </c:pt>
                <c:pt idx="26">
                  <c:v>177.98000000000002</c:v>
                </c:pt>
                <c:pt idx="27">
                  <c:v>227.98000000000002</c:v>
                </c:pt>
                <c:pt idx="28">
                  <c:v>217.70999999999998</c:v>
                </c:pt>
                <c:pt idx="29">
                  <c:v>297.53999999999996</c:v>
                </c:pt>
                <c:pt idx="30">
                  <c:v>436.36999999999995</c:v>
                </c:pt>
                <c:pt idx="31">
                  <c:v>550.92999999999995</c:v>
                </c:pt>
                <c:pt idx="32">
                  <c:v>604.04999999999995</c:v>
                </c:pt>
                <c:pt idx="33">
                  <c:v>821.29</c:v>
                </c:pt>
                <c:pt idx="34">
                  <c:v>840.62</c:v>
                </c:pt>
                <c:pt idx="35">
                  <c:v>929.94</c:v>
                </c:pt>
                <c:pt idx="36">
                  <c:v>929.94</c:v>
                </c:pt>
                <c:pt idx="37">
                  <c:v>1640.3400000000001</c:v>
                </c:pt>
                <c:pt idx="38">
                  <c:v>1438.3400000000001</c:v>
                </c:pt>
                <c:pt idx="39">
                  <c:v>1795.3600000000001</c:v>
                </c:pt>
                <c:pt idx="40">
                  <c:v>2039.1000000000001</c:v>
                </c:pt>
                <c:pt idx="41">
                  <c:v>2625.63</c:v>
                </c:pt>
                <c:pt idx="42">
                  <c:v>2758.2200000000003</c:v>
                </c:pt>
                <c:pt idx="43">
                  <c:v>3023.28</c:v>
                </c:pt>
                <c:pt idx="44">
                  <c:v>1723.2800000000002</c:v>
                </c:pt>
                <c:pt idx="45">
                  <c:v>1893.2200000000003</c:v>
                </c:pt>
                <c:pt idx="46">
                  <c:v>1777.7500000000002</c:v>
                </c:pt>
                <c:pt idx="47">
                  <c:v>735.69000000000028</c:v>
                </c:pt>
                <c:pt idx="48">
                  <c:v>934.43000000000029</c:v>
                </c:pt>
                <c:pt idx="49">
                  <c:v>1097.9300000000003</c:v>
                </c:pt>
                <c:pt idx="50">
                  <c:v>1265.2800000000002</c:v>
                </c:pt>
                <c:pt idx="51">
                  <c:v>1478.5200000000002</c:v>
                </c:pt>
                <c:pt idx="52">
                  <c:v>1678.5200000000002</c:v>
                </c:pt>
                <c:pt idx="53">
                  <c:v>131.34000000000015</c:v>
                </c:pt>
                <c:pt idx="54">
                  <c:v>131.34000000000015</c:v>
                </c:pt>
                <c:pt idx="55">
                  <c:v>271.66000000000014</c:v>
                </c:pt>
                <c:pt idx="56">
                  <c:v>379.35000000000014</c:v>
                </c:pt>
                <c:pt idx="57">
                  <c:v>600.7600000000001</c:v>
                </c:pt>
                <c:pt idx="58">
                  <c:v>589.0100000000001</c:v>
                </c:pt>
                <c:pt idx="59">
                  <c:v>1238.5300000000002</c:v>
                </c:pt>
                <c:pt idx="60">
                  <c:v>1726.8700000000003</c:v>
                </c:pt>
                <c:pt idx="61">
                  <c:v>3042.05</c:v>
                </c:pt>
                <c:pt idx="62">
                  <c:v>3042.05</c:v>
                </c:pt>
                <c:pt idx="63">
                  <c:v>3142.05</c:v>
                </c:pt>
                <c:pt idx="64">
                  <c:v>3142.05</c:v>
                </c:pt>
                <c:pt idx="65">
                  <c:v>3242.05</c:v>
                </c:pt>
                <c:pt idx="66">
                  <c:v>3242.05</c:v>
                </c:pt>
                <c:pt idx="67">
                  <c:v>3342.05</c:v>
                </c:pt>
                <c:pt idx="68">
                  <c:v>3342.05</c:v>
                </c:pt>
                <c:pt idx="69">
                  <c:v>3442.05</c:v>
                </c:pt>
                <c:pt idx="70">
                  <c:v>3442.05</c:v>
                </c:pt>
                <c:pt idx="71">
                  <c:v>3542.05</c:v>
                </c:pt>
                <c:pt idx="72">
                  <c:v>3542.05</c:v>
                </c:pt>
                <c:pt idx="73">
                  <c:v>3642.05</c:v>
                </c:pt>
                <c:pt idx="74">
                  <c:v>3642.05</c:v>
                </c:pt>
                <c:pt idx="75">
                  <c:v>3742.05</c:v>
                </c:pt>
                <c:pt idx="76">
                  <c:v>3742.05</c:v>
                </c:pt>
                <c:pt idx="77">
                  <c:v>3842.05</c:v>
                </c:pt>
                <c:pt idx="78">
                  <c:v>3842.05</c:v>
                </c:pt>
                <c:pt idx="79">
                  <c:v>3942.05</c:v>
                </c:pt>
                <c:pt idx="80">
                  <c:v>3942.05</c:v>
                </c:pt>
                <c:pt idx="81">
                  <c:v>4042.05</c:v>
                </c:pt>
                <c:pt idx="82">
                  <c:v>4042.05</c:v>
                </c:pt>
                <c:pt idx="83">
                  <c:v>4142.05</c:v>
                </c:pt>
                <c:pt idx="84">
                  <c:v>4142.05</c:v>
                </c:pt>
                <c:pt idx="85">
                  <c:v>4242.05</c:v>
                </c:pt>
                <c:pt idx="86">
                  <c:v>4242.05</c:v>
                </c:pt>
                <c:pt idx="87">
                  <c:v>4342.05</c:v>
                </c:pt>
                <c:pt idx="88">
                  <c:v>4342.05</c:v>
                </c:pt>
              </c:numCache>
            </c:numRef>
          </c:val>
          <c:smooth val="0"/>
          <c:extLst xmlns:c15="http://schemas.microsoft.com/office/drawing/2012/chart">
            <c:ext xmlns:c16="http://schemas.microsoft.com/office/drawing/2014/chart" uri="{C3380CC4-5D6E-409C-BE32-E72D297353CC}">
              <c16:uniqueId val="{00000001-D3E0-4C7F-AA1B-0222394FA261}"/>
            </c:ext>
          </c:extLst>
        </c:ser>
        <c:ser>
          <c:idx val="6"/>
          <c:order val="6"/>
          <c:tx>
            <c:v>Forecast</c:v>
          </c:tx>
          <c:spPr>
            <a:ln w="15875" cap="rnd">
              <a:solidFill>
                <a:schemeClr val="accent1">
                  <a:lumMod val="60000"/>
                </a:schemeClr>
              </a:solidFill>
              <a:prstDash val="sysDash"/>
              <a:round/>
            </a:ln>
            <a:effectLst/>
          </c:spPr>
          <c:marker>
            <c:symbol val="none"/>
          </c:marker>
          <c:cat>
            <c:numRef>
              <c:f>Options!$C$4:$C$92</c:f>
              <c:numCache>
                <c:formatCode>m/d/yyyy</c:formatCode>
                <c:ptCount val="89"/>
                <c:pt idx="0">
                  <c:v>45768</c:v>
                </c:pt>
                <c:pt idx="1">
                  <c:v>45775</c:v>
                </c:pt>
                <c:pt idx="2">
                  <c:v>45782</c:v>
                </c:pt>
                <c:pt idx="3">
                  <c:v>45789</c:v>
                </c:pt>
                <c:pt idx="4">
                  <c:v>45796</c:v>
                </c:pt>
                <c:pt idx="5">
                  <c:v>45803</c:v>
                </c:pt>
                <c:pt idx="6">
                  <c:v>45810</c:v>
                </c:pt>
                <c:pt idx="7">
                  <c:v>45817</c:v>
                </c:pt>
                <c:pt idx="8">
                  <c:v>45824</c:v>
                </c:pt>
                <c:pt idx="9">
                  <c:v>45831</c:v>
                </c:pt>
                <c:pt idx="10">
                  <c:v>45838</c:v>
                </c:pt>
                <c:pt idx="11">
                  <c:v>45845</c:v>
                </c:pt>
                <c:pt idx="12">
                  <c:v>45852</c:v>
                </c:pt>
                <c:pt idx="13">
                  <c:v>45859</c:v>
                </c:pt>
                <c:pt idx="14">
                  <c:v>45866</c:v>
                </c:pt>
                <c:pt idx="15">
                  <c:v>45873</c:v>
                </c:pt>
                <c:pt idx="16">
                  <c:v>45880</c:v>
                </c:pt>
                <c:pt idx="17">
                  <c:v>45887</c:v>
                </c:pt>
                <c:pt idx="18">
                  <c:v>45894</c:v>
                </c:pt>
                <c:pt idx="19">
                  <c:v>45901</c:v>
                </c:pt>
                <c:pt idx="20">
                  <c:v>45908</c:v>
                </c:pt>
                <c:pt idx="21">
                  <c:v>45915</c:v>
                </c:pt>
                <c:pt idx="22">
                  <c:v>45922</c:v>
                </c:pt>
                <c:pt idx="23">
                  <c:v>45929</c:v>
                </c:pt>
                <c:pt idx="24">
                  <c:v>45936</c:v>
                </c:pt>
                <c:pt idx="25">
                  <c:v>45943</c:v>
                </c:pt>
                <c:pt idx="26">
                  <c:v>45950</c:v>
                </c:pt>
                <c:pt idx="27">
                  <c:v>45957</c:v>
                </c:pt>
                <c:pt idx="28">
                  <c:v>45964</c:v>
                </c:pt>
                <c:pt idx="29">
                  <c:v>45971</c:v>
                </c:pt>
                <c:pt idx="30">
                  <c:v>45978</c:v>
                </c:pt>
                <c:pt idx="31">
                  <c:v>45985</c:v>
                </c:pt>
                <c:pt idx="32">
                  <c:v>45992</c:v>
                </c:pt>
                <c:pt idx="33">
                  <c:v>45999</c:v>
                </c:pt>
                <c:pt idx="34">
                  <c:v>46006</c:v>
                </c:pt>
                <c:pt idx="35">
                  <c:v>46013</c:v>
                </c:pt>
                <c:pt idx="36">
                  <c:v>46020</c:v>
                </c:pt>
                <c:pt idx="37">
                  <c:v>46027</c:v>
                </c:pt>
                <c:pt idx="38">
                  <c:v>46034</c:v>
                </c:pt>
                <c:pt idx="39">
                  <c:v>46041</c:v>
                </c:pt>
                <c:pt idx="40">
                  <c:v>46048</c:v>
                </c:pt>
                <c:pt idx="41">
                  <c:v>46055</c:v>
                </c:pt>
                <c:pt idx="42">
                  <c:v>46062</c:v>
                </c:pt>
                <c:pt idx="43">
                  <c:v>46069</c:v>
                </c:pt>
                <c:pt idx="44">
                  <c:v>46076</c:v>
                </c:pt>
                <c:pt idx="45">
                  <c:v>46083</c:v>
                </c:pt>
                <c:pt idx="46">
                  <c:v>46090</c:v>
                </c:pt>
                <c:pt idx="47">
                  <c:v>46097</c:v>
                </c:pt>
                <c:pt idx="48">
                  <c:v>46104</c:v>
                </c:pt>
                <c:pt idx="49">
                  <c:v>46111</c:v>
                </c:pt>
                <c:pt idx="50">
                  <c:v>46118</c:v>
                </c:pt>
                <c:pt idx="51">
                  <c:v>46125</c:v>
                </c:pt>
                <c:pt idx="52">
                  <c:v>46132</c:v>
                </c:pt>
                <c:pt idx="53">
                  <c:v>46139</c:v>
                </c:pt>
                <c:pt idx="54">
                  <c:v>46146</c:v>
                </c:pt>
                <c:pt idx="55">
                  <c:v>46153</c:v>
                </c:pt>
                <c:pt idx="56">
                  <c:v>46160</c:v>
                </c:pt>
                <c:pt idx="57">
                  <c:v>46167</c:v>
                </c:pt>
                <c:pt idx="58">
                  <c:v>46174</c:v>
                </c:pt>
                <c:pt idx="59">
                  <c:v>46181</c:v>
                </c:pt>
                <c:pt idx="60">
                  <c:v>46188</c:v>
                </c:pt>
                <c:pt idx="61">
                  <c:v>46195</c:v>
                </c:pt>
                <c:pt idx="62">
                  <c:v>46202</c:v>
                </c:pt>
                <c:pt idx="63">
                  <c:v>46209</c:v>
                </c:pt>
                <c:pt idx="64">
                  <c:v>46216</c:v>
                </c:pt>
                <c:pt idx="65">
                  <c:v>46223</c:v>
                </c:pt>
                <c:pt idx="66">
                  <c:v>46230</c:v>
                </c:pt>
                <c:pt idx="67">
                  <c:v>46237</c:v>
                </c:pt>
                <c:pt idx="68">
                  <c:v>46244</c:v>
                </c:pt>
                <c:pt idx="69">
                  <c:v>46251</c:v>
                </c:pt>
                <c:pt idx="70">
                  <c:v>46258</c:v>
                </c:pt>
                <c:pt idx="71">
                  <c:v>46265</c:v>
                </c:pt>
                <c:pt idx="72">
                  <c:v>46272</c:v>
                </c:pt>
                <c:pt idx="73">
                  <c:v>46279</c:v>
                </c:pt>
                <c:pt idx="74">
                  <c:v>46286</c:v>
                </c:pt>
                <c:pt idx="75">
                  <c:v>46293</c:v>
                </c:pt>
                <c:pt idx="76">
                  <c:v>46300</c:v>
                </c:pt>
                <c:pt idx="77">
                  <c:v>46307</c:v>
                </c:pt>
                <c:pt idx="78">
                  <c:v>46314</c:v>
                </c:pt>
                <c:pt idx="79">
                  <c:v>46321</c:v>
                </c:pt>
                <c:pt idx="80">
                  <c:v>46328</c:v>
                </c:pt>
                <c:pt idx="81">
                  <c:v>46335</c:v>
                </c:pt>
                <c:pt idx="82">
                  <c:v>46342</c:v>
                </c:pt>
                <c:pt idx="83">
                  <c:v>46349</c:v>
                </c:pt>
                <c:pt idx="84">
                  <c:v>46356</c:v>
                </c:pt>
                <c:pt idx="85">
                  <c:v>46363</c:v>
                </c:pt>
                <c:pt idx="86">
                  <c:v>46370</c:v>
                </c:pt>
                <c:pt idx="87">
                  <c:v>46377</c:v>
                </c:pt>
                <c:pt idx="88">
                  <c:v>46384</c:v>
                </c:pt>
              </c:numCache>
            </c:numRef>
          </c:cat>
          <c:val>
            <c:numRef>
              <c:f>Options!$N$4:$N$92</c:f>
              <c:numCache>
                <c:formatCode>_(* #,##0.00_);_(* \(#,##0.00\);_(* "-"??_);_(@_)</c:formatCode>
                <c:ptCount val="89"/>
                <c:pt idx="0">
                  <c:v>199.875</c:v>
                </c:pt>
                <c:pt idx="1">
                  <c:v>206.92500000000001</c:v>
                </c:pt>
                <c:pt idx="2">
                  <c:v>214.185</c:v>
                </c:pt>
                <c:pt idx="3">
                  <c:v>271.65499999999997</c:v>
                </c:pt>
                <c:pt idx="4">
                  <c:v>279.35499999999996</c:v>
                </c:pt>
                <c:pt idx="5">
                  <c:v>337.28499999999997</c:v>
                </c:pt>
                <c:pt idx="6">
                  <c:v>345.45499999999998</c:v>
                </c:pt>
                <c:pt idx="7">
                  <c:v>403.86500000000001</c:v>
                </c:pt>
                <c:pt idx="8">
                  <c:v>412.52500000000003</c:v>
                </c:pt>
                <c:pt idx="9">
                  <c:v>471.44500000000005</c:v>
                </c:pt>
                <c:pt idx="10">
                  <c:v>480.63500000000005</c:v>
                </c:pt>
                <c:pt idx="11">
                  <c:v>540.10500000000002</c:v>
                </c:pt>
                <c:pt idx="12">
                  <c:v>549.85500000000002</c:v>
                </c:pt>
                <c:pt idx="13">
                  <c:v>659.89499999999998</c:v>
                </c:pt>
                <c:pt idx="14">
                  <c:v>670.245</c:v>
                </c:pt>
                <c:pt idx="15">
                  <c:v>730.90499999999997</c:v>
                </c:pt>
                <c:pt idx="16">
                  <c:v>741.88499999999999</c:v>
                </c:pt>
                <c:pt idx="17">
                  <c:v>803.19499999999994</c:v>
                </c:pt>
                <c:pt idx="18">
                  <c:v>814.83499999999992</c:v>
                </c:pt>
                <c:pt idx="19">
                  <c:v>876.82499999999993</c:v>
                </c:pt>
                <c:pt idx="20">
                  <c:v>889.17499999999995</c:v>
                </c:pt>
                <c:pt idx="21">
                  <c:v>951.89499999999998</c:v>
                </c:pt>
                <c:pt idx="22">
                  <c:v>965.005</c:v>
                </c:pt>
                <c:pt idx="23">
                  <c:v>1028.5050000000001</c:v>
                </c:pt>
                <c:pt idx="24">
                  <c:v>1042.4050000000002</c:v>
                </c:pt>
                <c:pt idx="25">
                  <c:v>1106.7250000000001</c:v>
                </c:pt>
                <c:pt idx="26">
                  <c:v>1121.4750000000001</c:v>
                </c:pt>
                <c:pt idx="27">
                  <c:v>1186.6650000000002</c:v>
                </c:pt>
                <c:pt idx="28">
                  <c:v>1202.3150000000003</c:v>
                </c:pt>
                <c:pt idx="29">
                  <c:v>1268.4350000000002</c:v>
                </c:pt>
                <c:pt idx="30">
                  <c:v>1385.0350000000001</c:v>
                </c:pt>
                <c:pt idx="31">
                  <c:v>1452.135</c:v>
                </c:pt>
                <c:pt idx="32">
                  <c:v>1469.7449999999999</c:v>
                </c:pt>
                <c:pt idx="33">
                  <c:v>1537.885</c:v>
                </c:pt>
                <c:pt idx="34">
                  <c:v>1556.575</c:v>
                </c:pt>
                <c:pt idx="35">
                  <c:v>1625.825</c:v>
                </c:pt>
                <c:pt idx="36">
                  <c:v>1645.645</c:v>
                </c:pt>
                <c:pt idx="37">
                  <c:v>1766.0650000000001</c:v>
                </c:pt>
                <c:pt idx="38">
                  <c:v>1810.216625</c:v>
                </c:pt>
                <c:pt idx="39">
                  <c:v>1955.4720406250001</c:v>
                </c:pt>
                <c:pt idx="40">
                  <c:v>2004.3588416406251</c:v>
                </c:pt>
                <c:pt idx="41">
                  <c:v>2154.4678126816407</c:v>
                </c:pt>
                <c:pt idx="42">
                  <c:v>2208.3295079986815</c:v>
                </c:pt>
                <c:pt idx="43">
                  <c:v>2363.5377456986485</c:v>
                </c:pt>
                <c:pt idx="44">
                  <c:v>2422.6261893411147</c:v>
                </c:pt>
                <c:pt idx="45">
                  <c:v>2583.1918440746426</c:v>
                </c:pt>
                <c:pt idx="46">
                  <c:v>2647.7716401765088</c:v>
                </c:pt>
                <c:pt idx="47">
                  <c:v>2813.9659311809214</c:v>
                </c:pt>
                <c:pt idx="48">
                  <c:v>2884.3150794604444</c:v>
                </c:pt>
                <c:pt idx="49">
                  <c:v>3056.4229564469556</c:v>
                </c:pt>
                <c:pt idx="50">
                  <c:v>3132.8335303581293</c:v>
                </c:pt>
                <c:pt idx="51">
                  <c:v>3311.1543686170826</c:v>
                </c:pt>
                <c:pt idx="52">
                  <c:v>3593.9332278325096</c:v>
                </c:pt>
                <c:pt idx="53">
                  <c:v>3783.7815585283224</c:v>
                </c:pt>
                <c:pt idx="54">
                  <c:v>3878.3760974915303</c:v>
                </c:pt>
                <c:pt idx="55">
                  <c:v>4075.3354999288185</c:v>
                </c:pt>
                <c:pt idx="56">
                  <c:v>4177.2188874270387</c:v>
                </c:pt>
                <c:pt idx="57">
                  <c:v>4381.6493596127148</c:v>
                </c:pt>
                <c:pt idx="58">
                  <c:v>4491.1905936030325</c:v>
                </c:pt>
                <c:pt idx="59">
                  <c:v>4803.4703584431081</c:v>
                </c:pt>
                <c:pt idx="60">
                  <c:v>5038.5571174041861</c:v>
                </c:pt>
                <c:pt idx="61">
                  <c:v>5414.521045339291</c:v>
                </c:pt>
                <c:pt idx="62">
                  <c:v>5549.884071472773</c:v>
                </c:pt>
                <c:pt idx="63">
                  <c:v>5788.6311732595923</c:v>
                </c:pt>
                <c:pt idx="64">
                  <c:v>5933.3469525910823</c:v>
                </c:pt>
                <c:pt idx="65">
                  <c:v>6181.6806264058596</c:v>
                </c:pt>
                <c:pt idx="66">
                  <c:v>6336.2226420660063</c:v>
                </c:pt>
                <c:pt idx="67">
                  <c:v>6594.6282081176569</c:v>
                </c:pt>
                <c:pt idx="68">
                  <c:v>6759.493913320598</c:v>
                </c:pt>
                <c:pt idx="69">
                  <c:v>7028.4812611536126</c:v>
                </c:pt>
                <c:pt idx="70">
                  <c:v>7204.1932926824529</c:v>
                </c:pt>
                <c:pt idx="71">
                  <c:v>7484.2981249995146</c:v>
                </c:pt>
                <c:pt idx="72">
                  <c:v>7671.4055781245024</c:v>
                </c:pt>
                <c:pt idx="73">
                  <c:v>7963.190717577615</c:v>
                </c:pt>
                <c:pt idx="74">
                  <c:v>8162.270485517055</c:v>
                </c:pt>
                <c:pt idx="75">
                  <c:v>8466.327247654981</c:v>
                </c:pt>
                <c:pt idx="76">
                  <c:v>8677.9854288463557</c:v>
                </c:pt>
                <c:pt idx="77">
                  <c:v>8994.9350645675149</c:v>
                </c:pt>
                <c:pt idx="78">
                  <c:v>9219.8084411817035</c:v>
                </c:pt>
                <c:pt idx="79">
                  <c:v>9550.3036522112452</c:v>
                </c:pt>
                <c:pt idx="80">
                  <c:v>9789.0612435165258</c:v>
                </c:pt>
                <c:pt idx="81">
                  <c:v>10133.78777460444</c:v>
                </c:pt>
                <c:pt idx="82">
                  <c:v>10387.13246896955</c:v>
                </c:pt>
                <c:pt idx="83">
                  <c:v>10746.81078069379</c:v>
                </c:pt>
                <c:pt idx="84">
                  <c:v>11015.481050211134</c:v>
                </c:pt>
                <c:pt idx="85">
                  <c:v>11390.868076466413</c:v>
                </c:pt>
                <c:pt idx="86">
                  <c:v>11675.639778378074</c:v>
                </c:pt>
                <c:pt idx="87">
                  <c:v>12067.530772837526</c:v>
                </c:pt>
                <c:pt idx="88">
                  <c:v>12369.219042158464</c:v>
                </c:pt>
              </c:numCache>
            </c:numRef>
          </c:val>
          <c:smooth val="0"/>
          <c:extLst>
            <c:ext xmlns:c16="http://schemas.microsoft.com/office/drawing/2014/chart" uri="{C3380CC4-5D6E-409C-BE32-E72D297353CC}">
              <c16:uniqueId val="{00000002-D3E0-4C7F-AA1B-0222394FA261}"/>
            </c:ext>
          </c:extLst>
        </c:ser>
        <c:dLbls>
          <c:showLegendKey val="0"/>
          <c:showVal val="0"/>
          <c:showCatName val="0"/>
          <c:showSerName val="0"/>
          <c:showPercent val="0"/>
          <c:showBubbleSize val="0"/>
        </c:dLbls>
        <c:marker val="1"/>
        <c:smooth val="0"/>
        <c:axId val="1868003616"/>
        <c:axId val="1868004096"/>
        <c:extLst>
          <c:ext xmlns:c15="http://schemas.microsoft.com/office/drawing/2012/chart" uri="{02D57815-91ED-43cb-92C2-25804820EDAC}">
            <c15:filteredLineSeries>
              <c15:ser>
                <c:idx val="2"/>
                <c:order val="2"/>
                <c:tx>
                  <c:strRef>
                    <c:extLst>
                      <c:ext uri="{02D57815-91ED-43cb-92C2-25804820EDAC}">
                        <c15:formulaRef>
                          <c15:sqref>Options!$F$3</c15:sqref>
                        </c15:formulaRef>
                      </c:ext>
                    </c:extLst>
                    <c:strCache>
                      <c:ptCount val="1"/>
                      <c:pt idx="0">
                        <c:v>Gains $</c:v>
                      </c:pt>
                    </c:strCache>
                  </c:strRef>
                </c:tx>
                <c:spPr>
                  <a:ln w="15875" cap="rnd">
                    <a:solidFill>
                      <a:schemeClr val="accent3"/>
                    </a:solidFill>
                    <a:round/>
                  </a:ln>
                  <a:effectLst/>
                </c:spPr>
                <c:marker>
                  <c:symbol val="none"/>
                </c:marker>
                <c:cat>
                  <c:numRef>
                    <c:extLst>
                      <c:ext uri="{02D57815-91ED-43cb-92C2-25804820EDAC}">
                        <c15:formulaRef>
                          <c15:sqref>Options!$C$4:$C$92</c15:sqref>
                        </c15:formulaRef>
                      </c:ext>
                    </c:extLst>
                    <c:numCache>
                      <c:formatCode>m/d/yyyy</c:formatCode>
                      <c:ptCount val="89"/>
                      <c:pt idx="0">
                        <c:v>45768</c:v>
                      </c:pt>
                      <c:pt idx="1">
                        <c:v>45775</c:v>
                      </c:pt>
                      <c:pt idx="2">
                        <c:v>45782</c:v>
                      </c:pt>
                      <c:pt idx="3">
                        <c:v>45789</c:v>
                      </c:pt>
                      <c:pt idx="4">
                        <c:v>45796</c:v>
                      </c:pt>
                      <c:pt idx="5">
                        <c:v>45803</c:v>
                      </c:pt>
                      <c:pt idx="6">
                        <c:v>45810</c:v>
                      </c:pt>
                      <c:pt idx="7">
                        <c:v>45817</c:v>
                      </c:pt>
                      <c:pt idx="8">
                        <c:v>45824</c:v>
                      </c:pt>
                      <c:pt idx="9">
                        <c:v>45831</c:v>
                      </c:pt>
                      <c:pt idx="10">
                        <c:v>45838</c:v>
                      </c:pt>
                      <c:pt idx="11">
                        <c:v>45845</c:v>
                      </c:pt>
                      <c:pt idx="12">
                        <c:v>45852</c:v>
                      </c:pt>
                      <c:pt idx="13">
                        <c:v>45859</c:v>
                      </c:pt>
                      <c:pt idx="14">
                        <c:v>45866</c:v>
                      </c:pt>
                      <c:pt idx="15">
                        <c:v>45873</c:v>
                      </c:pt>
                      <c:pt idx="16">
                        <c:v>45880</c:v>
                      </c:pt>
                      <c:pt idx="17">
                        <c:v>45887</c:v>
                      </c:pt>
                      <c:pt idx="18">
                        <c:v>45894</c:v>
                      </c:pt>
                      <c:pt idx="19">
                        <c:v>45901</c:v>
                      </c:pt>
                      <c:pt idx="20">
                        <c:v>45908</c:v>
                      </c:pt>
                      <c:pt idx="21">
                        <c:v>45915</c:v>
                      </c:pt>
                      <c:pt idx="22">
                        <c:v>45922</c:v>
                      </c:pt>
                      <c:pt idx="23">
                        <c:v>45929</c:v>
                      </c:pt>
                      <c:pt idx="24">
                        <c:v>45936</c:v>
                      </c:pt>
                      <c:pt idx="25">
                        <c:v>45943</c:v>
                      </c:pt>
                      <c:pt idx="26">
                        <c:v>45950</c:v>
                      </c:pt>
                      <c:pt idx="27">
                        <c:v>45957</c:v>
                      </c:pt>
                      <c:pt idx="28">
                        <c:v>45964</c:v>
                      </c:pt>
                      <c:pt idx="29">
                        <c:v>45971</c:v>
                      </c:pt>
                      <c:pt idx="30">
                        <c:v>45978</c:v>
                      </c:pt>
                      <c:pt idx="31">
                        <c:v>45985</c:v>
                      </c:pt>
                      <c:pt idx="32">
                        <c:v>45992</c:v>
                      </c:pt>
                      <c:pt idx="33">
                        <c:v>45999</c:v>
                      </c:pt>
                      <c:pt idx="34">
                        <c:v>46006</c:v>
                      </c:pt>
                      <c:pt idx="35">
                        <c:v>46013</c:v>
                      </c:pt>
                      <c:pt idx="36">
                        <c:v>46020</c:v>
                      </c:pt>
                      <c:pt idx="37">
                        <c:v>46027</c:v>
                      </c:pt>
                      <c:pt idx="38">
                        <c:v>46034</c:v>
                      </c:pt>
                      <c:pt idx="39">
                        <c:v>46041</c:v>
                      </c:pt>
                      <c:pt idx="40">
                        <c:v>46048</c:v>
                      </c:pt>
                      <c:pt idx="41">
                        <c:v>46055</c:v>
                      </c:pt>
                      <c:pt idx="42">
                        <c:v>46062</c:v>
                      </c:pt>
                      <c:pt idx="43">
                        <c:v>46069</c:v>
                      </c:pt>
                      <c:pt idx="44">
                        <c:v>46076</c:v>
                      </c:pt>
                      <c:pt idx="45">
                        <c:v>46083</c:v>
                      </c:pt>
                      <c:pt idx="46">
                        <c:v>46090</c:v>
                      </c:pt>
                      <c:pt idx="47">
                        <c:v>46097</c:v>
                      </c:pt>
                      <c:pt idx="48">
                        <c:v>46104</c:v>
                      </c:pt>
                      <c:pt idx="49">
                        <c:v>46111</c:v>
                      </c:pt>
                      <c:pt idx="50">
                        <c:v>46118</c:v>
                      </c:pt>
                      <c:pt idx="51">
                        <c:v>46125</c:v>
                      </c:pt>
                      <c:pt idx="52">
                        <c:v>46132</c:v>
                      </c:pt>
                      <c:pt idx="53">
                        <c:v>46139</c:v>
                      </c:pt>
                      <c:pt idx="54">
                        <c:v>46146</c:v>
                      </c:pt>
                      <c:pt idx="55">
                        <c:v>46153</c:v>
                      </c:pt>
                      <c:pt idx="56">
                        <c:v>46160</c:v>
                      </c:pt>
                      <c:pt idx="57">
                        <c:v>46167</c:v>
                      </c:pt>
                      <c:pt idx="58">
                        <c:v>46174</c:v>
                      </c:pt>
                      <c:pt idx="59">
                        <c:v>46181</c:v>
                      </c:pt>
                      <c:pt idx="60">
                        <c:v>46188</c:v>
                      </c:pt>
                      <c:pt idx="61">
                        <c:v>46195</c:v>
                      </c:pt>
                      <c:pt idx="62">
                        <c:v>46202</c:v>
                      </c:pt>
                      <c:pt idx="63">
                        <c:v>46209</c:v>
                      </c:pt>
                      <c:pt idx="64">
                        <c:v>46216</c:v>
                      </c:pt>
                      <c:pt idx="65">
                        <c:v>46223</c:v>
                      </c:pt>
                      <c:pt idx="66">
                        <c:v>46230</c:v>
                      </c:pt>
                      <c:pt idx="67">
                        <c:v>46237</c:v>
                      </c:pt>
                      <c:pt idx="68">
                        <c:v>46244</c:v>
                      </c:pt>
                      <c:pt idx="69">
                        <c:v>46251</c:v>
                      </c:pt>
                      <c:pt idx="70">
                        <c:v>46258</c:v>
                      </c:pt>
                      <c:pt idx="71">
                        <c:v>46265</c:v>
                      </c:pt>
                      <c:pt idx="72">
                        <c:v>46272</c:v>
                      </c:pt>
                      <c:pt idx="73">
                        <c:v>46279</c:v>
                      </c:pt>
                      <c:pt idx="74">
                        <c:v>46286</c:v>
                      </c:pt>
                      <c:pt idx="75">
                        <c:v>46293</c:v>
                      </c:pt>
                      <c:pt idx="76">
                        <c:v>46300</c:v>
                      </c:pt>
                      <c:pt idx="77">
                        <c:v>46307</c:v>
                      </c:pt>
                      <c:pt idx="78">
                        <c:v>46314</c:v>
                      </c:pt>
                      <c:pt idx="79">
                        <c:v>46321</c:v>
                      </c:pt>
                      <c:pt idx="80">
                        <c:v>46328</c:v>
                      </c:pt>
                      <c:pt idx="81">
                        <c:v>46335</c:v>
                      </c:pt>
                      <c:pt idx="82">
                        <c:v>46342</c:v>
                      </c:pt>
                      <c:pt idx="83">
                        <c:v>46349</c:v>
                      </c:pt>
                      <c:pt idx="84">
                        <c:v>46356</c:v>
                      </c:pt>
                      <c:pt idx="85">
                        <c:v>46363</c:v>
                      </c:pt>
                      <c:pt idx="86">
                        <c:v>46370</c:v>
                      </c:pt>
                      <c:pt idx="87">
                        <c:v>46377</c:v>
                      </c:pt>
                      <c:pt idx="88">
                        <c:v>46384</c:v>
                      </c:pt>
                    </c:numCache>
                  </c:numRef>
                </c:cat>
                <c:val>
                  <c:numRef>
                    <c:extLst>
                      <c:ext uri="{02D57815-91ED-43cb-92C2-25804820EDAC}">
                        <c15:formulaRef>
                          <c15:sqref>Options!$F$4:$F$92</c15:sqref>
                        </c15:formulaRef>
                      </c:ext>
                    </c:extLst>
                    <c:numCache>
                      <c:formatCode>_(* #,##0.00_);_(* \(#,##0.00\);_(* "-"??_);_(@_)</c:formatCode>
                      <c:ptCount val="89"/>
                      <c:pt idx="0">
                        <c:v>6.84</c:v>
                      </c:pt>
                      <c:pt idx="1">
                        <c:v>7.05</c:v>
                      </c:pt>
                      <c:pt idx="2">
                        <c:v>7.26</c:v>
                      </c:pt>
                      <c:pt idx="3">
                        <c:v>7.47</c:v>
                      </c:pt>
                      <c:pt idx="4">
                        <c:v>7.7</c:v>
                      </c:pt>
                      <c:pt idx="5">
                        <c:v>7.93</c:v>
                      </c:pt>
                      <c:pt idx="6">
                        <c:v>8.17</c:v>
                      </c:pt>
                      <c:pt idx="7">
                        <c:v>8.41</c:v>
                      </c:pt>
                      <c:pt idx="8">
                        <c:v>8.66</c:v>
                      </c:pt>
                      <c:pt idx="9">
                        <c:v>8.92</c:v>
                      </c:pt>
                      <c:pt idx="10">
                        <c:v>9.19</c:v>
                      </c:pt>
                      <c:pt idx="11">
                        <c:v>9.4700000000000006</c:v>
                      </c:pt>
                      <c:pt idx="12">
                        <c:v>9.75</c:v>
                      </c:pt>
                      <c:pt idx="13">
                        <c:v>10.039999999999999</c:v>
                      </c:pt>
                      <c:pt idx="14">
                        <c:v>10.35</c:v>
                      </c:pt>
                      <c:pt idx="15">
                        <c:v>10.66</c:v>
                      </c:pt>
                      <c:pt idx="16">
                        <c:v>10.98</c:v>
                      </c:pt>
                      <c:pt idx="17">
                        <c:v>11.31</c:v>
                      </c:pt>
                      <c:pt idx="18">
                        <c:v>11.64</c:v>
                      </c:pt>
                      <c:pt idx="19">
                        <c:v>11.99</c:v>
                      </c:pt>
                      <c:pt idx="20">
                        <c:v>12.35</c:v>
                      </c:pt>
                      <c:pt idx="21">
                        <c:v>12.72</c:v>
                      </c:pt>
                      <c:pt idx="22">
                        <c:v>13.11</c:v>
                      </c:pt>
                      <c:pt idx="23">
                        <c:v>13.5</c:v>
                      </c:pt>
                      <c:pt idx="24">
                        <c:v>13.9</c:v>
                      </c:pt>
                      <c:pt idx="25">
                        <c:v>14.32</c:v>
                      </c:pt>
                      <c:pt idx="26">
                        <c:v>14.75</c:v>
                      </c:pt>
                      <c:pt idx="27">
                        <c:v>15.19</c:v>
                      </c:pt>
                      <c:pt idx="28">
                        <c:v>15.65</c:v>
                      </c:pt>
                      <c:pt idx="29">
                        <c:v>16.12</c:v>
                      </c:pt>
                      <c:pt idx="30">
                        <c:v>16.600000000000001</c:v>
                      </c:pt>
                      <c:pt idx="31">
                        <c:v>17.100000000000001</c:v>
                      </c:pt>
                      <c:pt idx="32">
                        <c:v>17.61</c:v>
                      </c:pt>
                      <c:pt idx="33">
                        <c:v>18.14</c:v>
                      </c:pt>
                      <c:pt idx="34">
                        <c:v>18.690000000000001</c:v>
                      </c:pt>
                      <c:pt idx="35">
                        <c:v>19.25</c:v>
                      </c:pt>
                      <c:pt idx="36">
                        <c:v>19.82</c:v>
                      </c:pt>
                      <c:pt idx="37">
                        <c:v>20.420000000000002</c:v>
                      </c:pt>
                      <c:pt idx="38">
                        <c:v>21.03</c:v>
                      </c:pt>
                      <c:pt idx="39">
                        <c:v>21.66</c:v>
                      </c:pt>
                      <c:pt idx="40">
                        <c:v>22.31</c:v>
                      </c:pt>
                      <c:pt idx="41">
                        <c:v>22.98</c:v>
                      </c:pt>
                      <c:pt idx="42">
                        <c:v>23.67</c:v>
                      </c:pt>
                      <c:pt idx="43">
                        <c:v>24.38</c:v>
                      </c:pt>
                      <c:pt idx="44">
                        <c:v>25.11</c:v>
                      </c:pt>
                      <c:pt idx="45">
                        <c:v>25.87</c:v>
                      </c:pt>
                      <c:pt idx="46">
                        <c:v>26.64</c:v>
                      </c:pt>
                      <c:pt idx="47">
                        <c:v>27.44</c:v>
                      </c:pt>
                      <c:pt idx="48">
                        <c:v>28.26</c:v>
                      </c:pt>
                      <c:pt idx="49">
                        <c:v>29.11</c:v>
                      </c:pt>
                      <c:pt idx="50">
                        <c:v>29.99</c:v>
                      </c:pt>
                      <c:pt idx="51">
                        <c:v>30.89</c:v>
                      </c:pt>
                      <c:pt idx="52">
                        <c:v>31.81</c:v>
                      </c:pt>
                      <c:pt idx="53">
                        <c:v>32.770000000000003</c:v>
                      </c:pt>
                      <c:pt idx="54">
                        <c:v>33.75</c:v>
                      </c:pt>
                      <c:pt idx="55">
                        <c:v>34.76</c:v>
                      </c:pt>
                      <c:pt idx="56">
                        <c:v>35.799999999999997</c:v>
                      </c:pt>
                      <c:pt idx="57">
                        <c:v>36.880000000000003</c:v>
                      </c:pt>
                      <c:pt idx="58">
                        <c:v>37.99</c:v>
                      </c:pt>
                      <c:pt idx="59">
                        <c:v>39.119999999999997</c:v>
                      </c:pt>
                      <c:pt idx="60">
                        <c:v>40.299999999999997</c:v>
                      </c:pt>
                      <c:pt idx="61">
                        <c:v>41.51</c:v>
                      </c:pt>
                      <c:pt idx="62">
                        <c:v>42.75</c:v>
                      </c:pt>
                      <c:pt idx="63">
                        <c:v>44.04</c:v>
                      </c:pt>
                      <c:pt idx="64">
                        <c:v>45.36</c:v>
                      </c:pt>
                      <c:pt idx="65">
                        <c:v>46.72</c:v>
                      </c:pt>
                      <c:pt idx="66">
                        <c:v>48.12</c:v>
                      </c:pt>
                      <c:pt idx="67">
                        <c:v>49.56</c:v>
                      </c:pt>
                      <c:pt idx="68">
                        <c:v>51.05</c:v>
                      </c:pt>
                      <c:pt idx="69">
                        <c:v>52.58</c:v>
                      </c:pt>
                      <c:pt idx="70">
                        <c:v>54.16</c:v>
                      </c:pt>
                      <c:pt idx="71">
                        <c:v>55.78</c:v>
                      </c:pt>
                      <c:pt idx="72">
                        <c:v>57.46</c:v>
                      </c:pt>
                      <c:pt idx="73">
                        <c:v>59.18</c:v>
                      </c:pt>
                      <c:pt idx="74">
                        <c:v>60.96</c:v>
                      </c:pt>
                      <c:pt idx="75">
                        <c:v>62.78</c:v>
                      </c:pt>
                      <c:pt idx="76">
                        <c:v>64.67</c:v>
                      </c:pt>
                      <c:pt idx="77">
                        <c:v>66.61</c:v>
                      </c:pt>
                      <c:pt idx="78">
                        <c:v>68.61</c:v>
                      </c:pt>
                      <c:pt idx="79">
                        <c:v>70.66</c:v>
                      </c:pt>
                      <c:pt idx="80">
                        <c:v>72.78</c:v>
                      </c:pt>
                      <c:pt idx="81">
                        <c:v>74.97</c:v>
                      </c:pt>
                      <c:pt idx="82">
                        <c:v>77.22</c:v>
                      </c:pt>
                      <c:pt idx="83">
                        <c:v>79.53</c:v>
                      </c:pt>
                      <c:pt idx="84">
                        <c:v>81.92</c:v>
                      </c:pt>
                      <c:pt idx="85">
                        <c:v>84.38</c:v>
                      </c:pt>
                      <c:pt idx="86">
                        <c:v>86.91</c:v>
                      </c:pt>
                      <c:pt idx="87">
                        <c:v>89.51</c:v>
                      </c:pt>
                      <c:pt idx="88">
                        <c:v>92.2</c:v>
                      </c:pt>
                    </c:numCache>
                  </c:numRef>
                </c:val>
                <c:smooth val="0"/>
                <c:extLst>
                  <c:ext xmlns:c16="http://schemas.microsoft.com/office/drawing/2014/chart" uri="{C3380CC4-5D6E-409C-BE32-E72D297353CC}">
                    <c16:uniqueId val="{00000005-D3E0-4C7F-AA1B-0222394FA261}"/>
                  </c:ext>
                </c:extLst>
              </c15:ser>
            </c15:filteredLineSeries>
          </c:ext>
        </c:extLst>
      </c:lineChart>
      <c:dateAx>
        <c:axId val="186800361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lumMod val="50000"/>
                  </a:schemeClr>
                </a:solidFill>
                <a:latin typeface="+mn-lt"/>
                <a:ea typeface="+mn-ea"/>
                <a:cs typeface="+mn-cs"/>
              </a:defRPr>
            </a:pPr>
            <a:endParaRPr lang="en-US"/>
          </a:p>
        </c:txPr>
        <c:crossAx val="1868004096"/>
        <c:crosses val="autoZero"/>
        <c:auto val="1"/>
        <c:lblOffset val="100"/>
        <c:baseTimeUnit val="days"/>
      </c:dateAx>
      <c:valAx>
        <c:axId val="1868004096"/>
        <c:scaling>
          <c:orientation val="minMax"/>
        </c:scaling>
        <c:delete val="0"/>
        <c:axPos val="l"/>
        <c:majorGridlines>
          <c:spPr>
            <a:ln w="9525" cap="flat" cmpd="sng" algn="ctr">
              <a:solidFill>
                <a:schemeClr val="bg2">
                  <a:lumMod val="50000"/>
                </a:schemeClr>
              </a:solidFill>
              <a:round/>
            </a:ln>
            <a:effectLst/>
          </c:spPr>
        </c:majorGridlines>
        <c:numFmt formatCode="_(* #,##0_);_(* \(#,##0\);_(* &quot;-&quot;_);_(@_)" sourceLinked="0"/>
        <c:majorTickMark val="none"/>
        <c:minorTickMark val="none"/>
        <c:tickLblPos val="nextTo"/>
        <c:spPr>
          <a:noFill/>
          <a:ln w="12700">
            <a:solidFill>
              <a:schemeClr val="tx1">
                <a:lumMod val="50000"/>
                <a:lumOff val="50000"/>
              </a:schemeClr>
            </a:solid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86800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114301</xdr:colOff>
      <xdr:row>0</xdr:row>
      <xdr:rowOff>95251</xdr:rowOff>
    </xdr:from>
    <xdr:to>
      <xdr:col>12</xdr:col>
      <xdr:colOff>215347</xdr:colOff>
      <xdr:row>24</xdr:row>
      <xdr:rowOff>41413</xdr:rowOff>
    </xdr:to>
    <xdr:graphicFrame macro="">
      <xdr:nvGraphicFramePr>
        <xdr:cNvPr id="2" name="Chart 1">
          <a:extLst>
            <a:ext uri="{FF2B5EF4-FFF2-40B4-BE49-F238E27FC236}">
              <a16:creationId xmlns:a16="http://schemas.microsoft.com/office/drawing/2014/main" id="{67D12E98-88BC-42BC-BDC0-7B9888850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99682-2C14-449D-B6D9-8F7BE5CEECC1}">
  <sheetPr>
    <tabColor theme="3" tint="0.89999084444715716"/>
  </sheetPr>
  <dimension ref="B1:AV301"/>
  <sheetViews>
    <sheetView showGridLines="0" tabSelected="1" zoomScale="70" zoomScaleNormal="70" workbookViewId="0">
      <pane xSplit="3" ySplit="3" topLeftCell="D32" activePane="bottomRight" state="frozen"/>
      <selection activeCell="Q66" sqref="Q66"/>
      <selection pane="topRight" activeCell="Q66" sqref="Q66"/>
      <selection pane="bottomLeft" activeCell="Q66" sqref="Q66"/>
      <selection pane="bottomRight" activeCell="Q66" sqref="Q66"/>
    </sheetView>
  </sheetViews>
  <sheetFormatPr defaultColWidth="9" defaultRowHeight="15" x14ac:dyDescent="0.25"/>
  <cols>
    <col min="1" max="1" width="2.7109375" style="3" customWidth="1"/>
    <col min="2" max="2" width="8.5703125" style="1" bestFit="1" customWidth="1"/>
    <col min="3" max="4" width="15.7109375" style="2" customWidth="1"/>
    <col min="5" max="5" width="16.28515625" style="1" bestFit="1" customWidth="1"/>
    <col min="6" max="8" width="15.7109375" style="1" customWidth="1"/>
    <col min="9" max="9" width="16.28515625" style="1" bestFit="1" customWidth="1"/>
    <col min="10" max="10" width="3.28515625" style="1" customWidth="1"/>
    <col min="11" max="13" width="15.7109375" style="1" customWidth="1"/>
    <col min="14" max="14" width="16.28515625" style="1" bestFit="1" customWidth="1"/>
    <col min="15" max="15" width="3.28515625" style="1" customWidth="1"/>
    <col min="16" max="20" width="15.7109375" style="1" customWidth="1"/>
    <col min="21" max="21" width="3.28515625" style="1" customWidth="1"/>
    <col min="22" max="25" width="13.42578125" style="1" bestFit="1" customWidth="1"/>
    <col min="26" max="26" width="3.28515625" customWidth="1"/>
    <col min="27" max="34" width="15.7109375" style="3" customWidth="1"/>
    <col min="35" max="35" width="29.7109375" style="4" customWidth="1"/>
    <col min="36" max="36" width="14.140625" style="3" customWidth="1"/>
    <col min="37" max="37" width="12" style="3" customWidth="1"/>
    <col min="38" max="38" width="28.7109375" style="3" bestFit="1" customWidth="1"/>
    <col min="39" max="39" width="12.140625" style="3" customWidth="1"/>
    <col min="40" max="42" width="9" style="3"/>
    <col min="43" max="43" width="13.5703125" style="3" bestFit="1" customWidth="1"/>
    <col min="44" max="16384" width="9" style="3"/>
  </cols>
  <sheetData>
    <row r="1" spans="2:48" ht="15.75" thickBot="1" x14ac:dyDescent="0.3"/>
    <row r="2" spans="2:48" ht="16.5" thickBot="1" x14ac:dyDescent="0.3">
      <c r="B2" s="5" t="s">
        <v>0</v>
      </c>
      <c r="C2" s="6"/>
      <c r="D2" s="6"/>
      <c r="E2" s="6"/>
      <c r="F2" s="6"/>
      <c r="G2" s="6"/>
      <c r="H2" s="6"/>
      <c r="I2" s="7"/>
      <c r="K2" s="5" t="s">
        <v>1</v>
      </c>
      <c r="L2" s="6"/>
      <c r="M2" s="6"/>
      <c r="N2" s="7"/>
      <c r="P2" s="5" t="s">
        <v>2</v>
      </c>
      <c r="Q2" s="8"/>
      <c r="R2" s="8"/>
      <c r="S2" s="6"/>
      <c r="T2" s="7"/>
      <c r="V2" s="5" t="s">
        <v>3</v>
      </c>
      <c r="W2" s="7"/>
      <c r="AA2" s="5" t="s">
        <v>4</v>
      </c>
      <c r="AB2" s="6"/>
      <c r="AC2" s="5"/>
      <c r="AD2" s="6"/>
      <c r="AE2" s="6"/>
      <c r="AF2" s="6"/>
      <c r="AG2" s="6"/>
      <c r="AH2" s="7"/>
    </row>
    <row r="3" spans="2:48" ht="17.25" thickTop="1" thickBot="1" x14ac:dyDescent="0.3">
      <c r="B3" s="9" t="s">
        <v>5</v>
      </c>
      <c r="C3" s="9" t="s">
        <v>6</v>
      </c>
      <c r="D3" s="9" t="s">
        <v>7</v>
      </c>
      <c r="E3" s="9" t="s">
        <v>8</v>
      </c>
      <c r="F3" s="9" t="s">
        <v>9</v>
      </c>
      <c r="G3" s="9" t="s">
        <v>10</v>
      </c>
      <c r="H3" s="9" t="s">
        <v>11</v>
      </c>
      <c r="I3" s="9" t="s">
        <v>12</v>
      </c>
      <c r="K3" s="9" t="s">
        <v>9</v>
      </c>
      <c r="L3" s="9" t="s">
        <v>10</v>
      </c>
      <c r="M3" s="9" t="s">
        <v>11</v>
      </c>
      <c r="N3" s="9" t="s">
        <v>12</v>
      </c>
      <c r="P3" s="10" t="s">
        <v>8</v>
      </c>
      <c r="Q3" s="11" t="s">
        <v>9</v>
      </c>
      <c r="R3" s="9" t="s">
        <v>10</v>
      </c>
      <c r="S3" s="9" t="s">
        <v>11</v>
      </c>
      <c r="T3" s="9" t="s">
        <v>12</v>
      </c>
      <c r="V3" s="12" t="s">
        <v>0</v>
      </c>
      <c r="W3" s="12" t="s">
        <v>1</v>
      </c>
      <c r="X3" s="12" t="s">
        <v>13</v>
      </c>
      <c r="Y3" s="12" t="s">
        <v>14</v>
      </c>
      <c r="AA3" s="12" t="s">
        <v>15</v>
      </c>
      <c r="AB3" s="12" t="s">
        <v>16</v>
      </c>
      <c r="AC3" s="12" t="s">
        <v>17</v>
      </c>
      <c r="AD3" s="12" t="s">
        <v>18</v>
      </c>
      <c r="AE3" s="12" t="s">
        <v>15</v>
      </c>
      <c r="AF3" s="12" t="s">
        <v>19</v>
      </c>
      <c r="AG3" s="12" t="s">
        <v>20</v>
      </c>
      <c r="AH3" s="12" t="s">
        <v>21</v>
      </c>
      <c r="AI3" s="12" t="s">
        <v>22</v>
      </c>
      <c r="AJ3" s="12"/>
      <c r="AL3" s="13" t="s">
        <v>23</v>
      </c>
      <c r="AM3" s="14"/>
    </row>
    <row r="4" spans="2:48" ht="16.5" thickBot="1" x14ac:dyDescent="0.3">
      <c r="B4" s="15">
        <v>1</v>
      </c>
      <c r="C4" s="16">
        <v>45768</v>
      </c>
      <c r="D4" s="17">
        <f>YEAR(C4)</f>
        <v>2025</v>
      </c>
      <c r="E4" s="18">
        <v>195</v>
      </c>
      <c r="F4" s="18">
        <v>6.84</v>
      </c>
      <c r="G4" s="19">
        <f>F4/E4</f>
        <v>3.5076923076923075E-2</v>
      </c>
      <c r="H4" s="18">
        <v>0</v>
      </c>
      <c r="I4" s="18">
        <f>E4+F4+H4</f>
        <v>201.84</v>
      </c>
      <c r="K4" s="18">
        <f>$L$4*E4</f>
        <v>4.875</v>
      </c>
      <c r="L4" s="19">
        <v>2.5000000000000001E-2</v>
      </c>
      <c r="M4" s="18">
        <f>H4</f>
        <v>0</v>
      </c>
      <c r="N4" s="18">
        <f>E4+K4+M4</f>
        <v>199.875</v>
      </c>
      <c r="P4" s="20">
        <v>195</v>
      </c>
      <c r="Q4" s="21">
        <v>33.5</v>
      </c>
      <c r="R4" s="22">
        <f>IF(Q4=0,"-",Q4/P4)</f>
        <v>0.1717948717948718</v>
      </c>
      <c r="S4" s="18">
        <v>0</v>
      </c>
      <c r="T4" s="18">
        <f>P4+Q4+S4</f>
        <v>228.5</v>
      </c>
      <c r="V4" s="23">
        <f t="shared" ref="V4:V66" ca="1" si="0">IF(TODAY()&lt;C4,0,(T4-I4))</f>
        <v>26.659999999999997</v>
      </c>
      <c r="W4" s="23">
        <f ca="1">IF(TODAY()&lt;C4,0,(T4-N4))</f>
        <v>28.625</v>
      </c>
      <c r="X4" s="23">
        <f ca="1">IF(TODAY()&lt;D4,0,(U4-O4))</f>
        <v>0</v>
      </c>
      <c r="Y4" s="23">
        <v>0</v>
      </c>
      <c r="AA4" s="24">
        <f>IF(IFERROR(Q4/P4,0)=0,"-",IFERROR(Q4/P4,0))</f>
        <v>0.1717948717948718</v>
      </c>
      <c r="AB4" s="24">
        <f t="shared" ref="AB4:AB66" si="1">IF(IFERROR(Q4/AC4,0)=0,"-",IFERROR(Q4/AC4,0))</f>
        <v>4.4995433299306935E-2</v>
      </c>
      <c r="AC4" s="25">
        <v>744.52</v>
      </c>
      <c r="AD4" s="25">
        <v>0</v>
      </c>
      <c r="AE4" s="24">
        <f t="shared" ref="AE4:AE66" si="2">IF(IFERROR(AC4/P4,0)=0,"-",IFERROR(AC4/P4,0))</f>
        <v>3.818051282051282</v>
      </c>
      <c r="AF4" s="26">
        <f t="shared" ref="AF4:AF66" ca="1" si="3">IF(V4&gt;0,V4*0.2,0)</f>
        <v>5.3319999999999999</v>
      </c>
      <c r="AG4" s="27">
        <f t="shared" ref="AG4:AG66" ca="1" si="4">IFERROR(IF((F4/AF4)=0,"-",F4/AF4),"-")</f>
        <v>1.2828207051762941</v>
      </c>
      <c r="AH4" s="25">
        <v>33.200000000000003</v>
      </c>
      <c r="AI4" s="28" t="s">
        <v>24</v>
      </c>
      <c r="AJ4" s="29"/>
      <c r="AL4" s="30">
        <v>2023</v>
      </c>
      <c r="AM4" s="31">
        <f>9084.25</f>
        <v>9084.25</v>
      </c>
      <c r="AQ4" s="32"/>
      <c r="AV4" s="32"/>
    </row>
    <row r="5" spans="2:48" ht="16.5" thickBot="1" x14ac:dyDescent="0.3">
      <c r="B5" s="33">
        <v>2</v>
      </c>
      <c r="C5" s="34">
        <f>C4+7</f>
        <v>45775</v>
      </c>
      <c r="D5" s="35">
        <f t="shared" ref="D5:D68" si="5">YEAR(C5)</f>
        <v>2025</v>
      </c>
      <c r="E5" s="36">
        <f>I4</f>
        <v>201.84</v>
      </c>
      <c r="F5" s="36">
        <v>7.05</v>
      </c>
      <c r="G5" s="37">
        <f t="shared" ref="G5:G68" si="6">F5/E5</f>
        <v>3.4928656361474436E-2</v>
      </c>
      <c r="H5" s="36">
        <v>0</v>
      </c>
      <c r="I5" s="36">
        <f t="shared" ref="I5:I68" si="7">E5+F5+H5</f>
        <v>208.89000000000001</v>
      </c>
      <c r="K5" s="36">
        <v>7.05</v>
      </c>
      <c r="L5" s="37">
        <v>2.5000000000000001E-2</v>
      </c>
      <c r="M5" s="36">
        <f t="shared" ref="M5:M68" si="8">H5</f>
        <v>0</v>
      </c>
      <c r="N5" s="36">
        <f>N4+K5+M5</f>
        <v>206.92500000000001</v>
      </c>
      <c r="P5" s="38">
        <f>T4</f>
        <v>228.5</v>
      </c>
      <c r="Q5" s="39">
        <v>-51.46</v>
      </c>
      <c r="R5" s="40">
        <f t="shared" ref="R5:R66" si="9">IF(Q5=0,"-",Q5/P5)</f>
        <v>-0.22520787746170678</v>
      </c>
      <c r="S5" s="36">
        <v>0</v>
      </c>
      <c r="T5" s="36">
        <f t="shared" ref="T5:T68" si="10">P5+Q5+S5</f>
        <v>177.04</v>
      </c>
      <c r="U5" s="41">
        <f>IF(SUM($U$4:U4)=1,0,IF(SUM($Q$4:Q5)&gt;39891.29,1,0))</f>
        <v>0</v>
      </c>
      <c r="V5" s="36">
        <f t="shared" ca="1" si="0"/>
        <v>-31.850000000000023</v>
      </c>
      <c r="W5" s="36">
        <f t="shared" ref="W5:X66" ca="1" si="11">IF(TODAY()&lt;C5,0,(T5-N5))</f>
        <v>-29.885000000000019</v>
      </c>
      <c r="X5" s="36">
        <f ca="1">IF(TODAY()&lt;D5,0,(U5-O5))</f>
        <v>0</v>
      </c>
      <c r="Y5" s="37">
        <f>IF(Q5=0,Y4,COUNTIF($Q$4:Q5,"&gt;0")/COUNTIF($Q$4:Q5,"&lt;&gt;0"))</f>
        <v>0.5</v>
      </c>
      <c r="AA5" s="42">
        <f t="shared" ref="AA5:AA66" si="12">IF(IFERROR(Q5/P5,0)=0,"-",IFERROR(Q5/P5,0))</f>
        <v>-0.22520787746170678</v>
      </c>
      <c r="AB5" s="42" t="str">
        <f t="shared" si="1"/>
        <v>-</v>
      </c>
      <c r="AC5" s="43">
        <v>0</v>
      </c>
      <c r="AD5" s="43">
        <v>0</v>
      </c>
      <c r="AE5" s="42" t="str">
        <f t="shared" si="2"/>
        <v>-</v>
      </c>
      <c r="AF5" s="44">
        <f t="shared" ca="1" si="3"/>
        <v>0</v>
      </c>
      <c r="AG5" s="45" t="str">
        <f t="shared" ca="1" si="4"/>
        <v>-</v>
      </c>
      <c r="AH5" s="43">
        <v>0</v>
      </c>
      <c r="AI5" s="46" t="s">
        <v>24</v>
      </c>
      <c r="AJ5" s="47"/>
      <c r="AL5" s="30">
        <v>2024</v>
      </c>
      <c r="AM5" s="31">
        <v>27951.85</v>
      </c>
      <c r="AQ5" s="48"/>
      <c r="AV5" s="32"/>
    </row>
    <row r="6" spans="2:48" ht="16.5" thickBot="1" x14ac:dyDescent="0.3">
      <c r="B6" s="15">
        <v>3</v>
      </c>
      <c r="C6" s="16">
        <f t="shared" ref="C6:C69" si="13">C5+7</f>
        <v>45782</v>
      </c>
      <c r="D6" s="17">
        <f t="shared" si="5"/>
        <v>2025</v>
      </c>
      <c r="E6" s="18">
        <f t="shared" ref="E6:E69" si="14">I5</f>
        <v>208.89000000000001</v>
      </c>
      <c r="F6" s="18">
        <v>7.26</v>
      </c>
      <c r="G6" s="19">
        <f t="shared" si="6"/>
        <v>3.4755134281200625E-2</v>
      </c>
      <c r="H6" s="18">
        <v>0</v>
      </c>
      <c r="I6" s="18">
        <f t="shared" si="7"/>
        <v>216.15</v>
      </c>
      <c r="K6" s="18">
        <v>7.26</v>
      </c>
      <c r="L6" s="19">
        <v>2.5000000000000001E-2</v>
      </c>
      <c r="M6" s="18">
        <f t="shared" si="8"/>
        <v>0</v>
      </c>
      <c r="N6" s="18">
        <f t="shared" ref="N6:N69" si="15">N5+K6+M6</f>
        <v>214.185</v>
      </c>
      <c r="P6" s="20">
        <f t="shared" ref="P6:P69" si="16">T5</f>
        <v>177.04</v>
      </c>
      <c r="Q6" s="49">
        <f>-P6</f>
        <v>-177.04</v>
      </c>
      <c r="R6" s="22">
        <f t="shared" si="9"/>
        <v>-1</v>
      </c>
      <c r="S6" s="18">
        <v>0</v>
      </c>
      <c r="T6" s="18">
        <f t="shared" si="10"/>
        <v>0</v>
      </c>
      <c r="U6" s="41">
        <f>IF(SUM($U$4:U5)=1,0,IF(SUM($Q$4:Q6)&gt;39891.29,1,0))</f>
        <v>0</v>
      </c>
      <c r="V6" s="23">
        <f t="shared" ca="1" si="0"/>
        <v>-216.15</v>
      </c>
      <c r="W6" s="23">
        <f t="shared" ca="1" si="11"/>
        <v>-214.185</v>
      </c>
      <c r="X6" s="23">
        <f ca="1">IF(TODAY()&lt;D6,0,(U6-O6))</f>
        <v>0</v>
      </c>
      <c r="Y6" s="50">
        <f>IF(Q6=0,Y5,COUNTIF($Q$4:Q6,"&gt;0")/COUNTIF($Q$4:Q6,"&lt;&gt;0"))</f>
        <v>0.33333333333333331</v>
      </c>
      <c r="AA6" s="51">
        <f t="shared" si="12"/>
        <v>-1</v>
      </c>
      <c r="AB6" s="51">
        <f t="shared" si="1"/>
        <v>-0.57807092013322015</v>
      </c>
      <c r="AC6" s="52">
        <v>306.26</v>
      </c>
      <c r="AD6" s="52">
        <v>0</v>
      </c>
      <c r="AE6" s="51">
        <f t="shared" si="2"/>
        <v>1.7298915499322187</v>
      </c>
      <c r="AF6" s="53">
        <f t="shared" ca="1" si="3"/>
        <v>0</v>
      </c>
      <c r="AG6" s="54" t="str">
        <f t="shared" ca="1" si="4"/>
        <v>-</v>
      </c>
      <c r="AH6" s="52">
        <v>15.02</v>
      </c>
      <c r="AI6" s="28" t="s">
        <v>24</v>
      </c>
      <c r="AJ6" s="55"/>
      <c r="AL6" s="30">
        <v>2025</v>
      </c>
      <c r="AM6" s="31">
        <v>2855.19</v>
      </c>
      <c r="AQ6" s="48"/>
      <c r="AV6" s="32"/>
    </row>
    <row r="7" spans="2:48" ht="16.5" thickBot="1" x14ac:dyDescent="0.3">
      <c r="B7" s="33">
        <v>4</v>
      </c>
      <c r="C7" s="34">
        <f t="shared" si="13"/>
        <v>45789</v>
      </c>
      <c r="D7" s="35">
        <f t="shared" si="5"/>
        <v>2025</v>
      </c>
      <c r="E7" s="36">
        <f t="shared" si="14"/>
        <v>216.15</v>
      </c>
      <c r="F7" s="36">
        <v>7.47</v>
      </c>
      <c r="G7" s="37">
        <f t="shared" si="6"/>
        <v>3.4559333795975013E-2</v>
      </c>
      <c r="H7" s="36">
        <f>S7</f>
        <v>50</v>
      </c>
      <c r="I7" s="36">
        <f t="shared" si="7"/>
        <v>273.62</v>
      </c>
      <c r="K7" s="36">
        <v>7.47</v>
      </c>
      <c r="L7" s="37">
        <v>2.5000000000000001E-2</v>
      </c>
      <c r="M7" s="36">
        <f t="shared" si="8"/>
        <v>50</v>
      </c>
      <c r="N7" s="36">
        <f t="shared" si="15"/>
        <v>271.65499999999997</v>
      </c>
      <c r="P7" s="38">
        <f t="shared" si="16"/>
        <v>0</v>
      </c>
      <c r="Q7" s="56">
        <v>0</v>
      </c>
      <c r="R7" s="40" t="str">
        <f t="shared" si="9"/>
        <v>-</v>
      </c>
      <c r="S7" s="36">
        <v>50</v>
      </c>
      <c r="T7" s="36">
        <f t="shared" si="10"/>
        <v>50</v>
      </c>
      <c r="U7" s="41">
        <f>IF(SUM($U$4:U6)=1,0,IF(SUM($Q$4:Q7)&gt;39891.29,1,0))</f>
        <v>0</v>
      </c>
      <c r="V7" s="36">
        <f t="shared" ca="1" si="0"/>
        <v>-223.62</v>
      </c>
      <c r="W7" s="36">
        <f t="shared" ca="1" si="11"/>
        <v>-221.65499999999997</v>
      </c>
      <c r="X7" s="36">
        <f ca="1">IF(TODAY()&lt;D7,0,(U7-O7))</f>
        <v>0</v>
      </c>
      <c r="Y7" s="37">
        <f>IF(Q7=0,Y6,COUNTIF($Q$4:Q7,"&gt;0")/COUNTIF($Q$4:Q7,"&lt;&gt;0"))</f>
        <v>0.33333333333333331</v>
      </c>
      <c r="AA7" s="42" t="str">
        <f t="shared" si="12"/>
        <v>-</v>
      </c>
      <c r="AB7" s="42" t="str">
        <f t="shared" si="1"/>
        <v>-</v>
      </c>
      <c r="AC7" s="43">
        <v>0</v>
      </c>
      <c r="AD7" s="43">
        <v>0</v>
      </c>
      <c r="AE7" s="42" t="str">
        <f t="shared" si="2"/>
        <v>-</v>
      </c>
      <c r="AF7" s="44">
        <f t="shared" ca="1" si="3"/>
        <v>0</v>
      </c>
      <c r="AG7" s="45" t="str">
        <f t="shared" ca="1" si="4"/>
        <v>-</v>
      </c>
      <c r="AH7" s="43">
        <v>0</v>
      </c>
      <c r="AI7" s="46" t="s">
        <v>24</v>
      </c>
      <c r="AJ7" s="47"/>
      <c r="AL7" s="57" t="s">
        <v>25</v>
      </c>
      <c r="AM7" s="58">
        <f>SUM(AM4:AM6)</f>
        <v>39891.29</v>
      </c>
      <c r="AQ7" s="48"/>
      <c r="AV7" s="32"/>
    </row>
    <row r="8" spans="2:48" ht="16.5" thickBot="1" x14ac:dyDescent="0.3">
      <c r="B8" s="15">
        <v>5</v>
      </c>
      <c r="C8" s="16">
        <f t="shared" si="13"/>
        <v>45796</v>
      </c>
      <c r="D8" s="17">
        <f t="shared" si="5"/>
        <v>2025</v>
      </c>
      <c r="E8" s="18">
        <f t="shared" si="14"/>
        <v>273.62</v>
      </c>
      <c r="F8" s="18">
        <v>7.7</v>
      </c>
      <c r="G8" s="19">
        <f t="shared" si="6"/>
        <v>2.8141217747240699E-2</v>
      </c>
      <c r="H8" s="18">
        <f t="shared" ref="H8:H71" si="17">S8</f>
        <v>0</v>
      </c>
      <c r="I8" s="18">
        <f t="shared" si="7"/>
        <v>281.32</v>
      </c>
      <c r="K8" s="18">
        <v>7.7</v>
      </c>
      <c r="L8" s="19">
        <v>2.5000000000000001E-2</v>
      </c>
      <c r="M8" s="18">
        <f t="shared" si="8"/>
        <v>0</v>
      </c>
      <c r="N8" s="18">
        <f t="shared" si="15"/>
        <v>279.35499999999996</v>
      </c>
      <c r="P8" s="20">
        <f t="shared" si="16"/>
        <v>50</v>
      </c>
      <c r="Q8" s="59">
        <v>0</v>
      </c>
      <c r="R8" s="22" t="str">
        <f t="shared" si="9"/>
        <v>-</v>
      </c>
      <c r="S8" s="18">
        <v>0</v>
      </c>
      <c r="T8" s="18">
        <f t="shared" si="10"/>
        <v>50</v>
      </c>
      <c r="U8" s="41">
        <f>IF(SUM($U$4:U7)=1,0,IF(SUM($Q$4:Q8)&gt;39891.29,1,0))</f>
        <v>0</v>
      </c>
      <c r="V8" s="23">
        <f t="shared" ca="1" si="0"/>
        <v>-231.32</v>
      </c>
      <c r="W8" s="23">
        <f t="shared" ca="1" si="11"/>
        <v>-229.35499999999996</v>
      </c>
      <c r="X8" s="23">
        <f ca="1">IF(TODAY()&lt;D8,0,(U8-O8))</f>
        <v>0</v>
      </c>
      <c r="Y8" s="50">
        <f>IF(Q8=0,Y7,COUNTIF($Q$4:Q8,"&gt;0")/COUNTIF($Q$4:Q8,"&lt;&gt;0"))</f>
        <v>0.33333333333333331</v>
      </c>
      <c r="AA8" s="51" t="str">
        <f t="shared" si="12"/>
        <v>-</v>
      </c>
      <c r="AB8" s="51" t="str">
        <f t="shared" si="1"/>
        <v>-</v>
      </c>
      <c r="AC8" s="52">
        <v>0</v>
      </c>
      <c r="AD8" s="52">
        <v>0</v>
      </c>
      <c r="AE8" s="51" t="str">
        <f t="shared" si="2"/>
        <v>-</v>
      </c>
      <c r="AF8" s="53">
        <f t="shared" ca="1" si="3"/>
        <v>0</v>
      </c>
      <c r="AG8" s="54" t="str">
        <f t="shared" ca="1" si="4"/>
        <v>-</v>
      </c>
      <c r="AH8" s="52">
        <v>0</v>
      </c>
      <c r="AI8" s="28" t="s">
        <v>24</v>
      </c>
      <c r="AJ8" s="55"/>
      <c r="AQ8" s="48"/>
      <c r="AV8" s="32"/>
    </row>
    <row r="9" spans="2:48" ht="16.5" thickBot="1" x14ac:dyDescent="0.3">
      <c r="B9" s="33">
        <v>6</v>
      </c>
      <c r="C9" s="34">
        <f t="shared" si="13"/>
        <v>45803</v>
      </c>
      <c r="D9" s="35">
        <f t="shared" si="5"/>
        <v>2025</v>
      </c>
      <c r="E9" s="36">
        <f t="shared" si="14"/>
        <v>281.32</v>
      </c>
      <c r="F9" s="36">
        <v>7.93</v>
      </c>
      <c r="G9" s="37">
        <f t="shared" si="6"/>
        <v>2.8188539741219962E-2</v>
      </c>
      <c r="H9" s="36">
        <f t="shared" si="17"/>
        <v>50</v>
      </c>
      <c r="I9" s="36">
        <f t="shared" si="7"/>
        <v>339.25</v>
      </c>
      <c r="K9" s="36">
        <v>7.93</v>
      </c>
      <c r="L9" s="37">
        <v>2.5000000000000001E-2</v>
      </c>
      <c r="M9" s="36">
        <f t="shared" si="8"/>
        <v>50</v>
      </c>
      <c r="N9" s="36">
        <f t="shared" si="15"/>
        <v>337.28499999999997</v>
      </c>
      <c r="P9" s="38">
        <f t="shared" si="16"/>
        <v>50</v>
      </c>
      <c r="Q9" s="56">
        <v>0</v>
      </c>
      <c r="R9" s="40" t="str">
        <f t="shared" si="9"/>
        <v>-</v>
      </c>
      <c r="S9" s="36">
        <v>50</v>
      </c>
      <c r="T9" s="36">
        <f t="shared" si="10"/>
        <v>100</v>
      </c>
      <c r="U9" s="41">
        <f>IF(SUM($U$4:U8)=1,0,IF(SUM($Q$4:Q9)&gt;39891.29,1,0))</f>
        <v>0</v>
      </c>
      <c r="V9" s="36">
        <f t="shared" ca="1" si="0"/>
        <v>-239.25</v>
      </c>
      <c r="W9" s="36">
        <f t="shared" ca="1" si="11"/>
        <v>-237.28499999999997</v>
      </c>
      <c r="X9" s="36">
        <f ca="1">IF(TODAY()&lt;D9,0,(U9-O9))</f>
        <v>0</v>
      </c>
      <c r="Y9" s="37">
        <f>IF(Q9=0,Y8,COUNTIF($Q$4:Q9,"&gt;0")/COUNTIF($Q$4:Q9,"&lt;&gt;0"))</f>
        <v>0.33333333333333331</v>
      </c>
      <c r="AA9" s="42" t="str">
        <f t="shared" si="12"/>
        <v>-</v>
      </c>
      <c r="AB9" s="42" t="str">
        <f t="shared" si="1"/>
        <v>-</v>
      </c>
      <c r="AC9" s="43">
        <v>0</v>
      </c>
      <c r="AD9" s="43">
        <v>0</v>
      </c>
      <c r="AE9" s="42" t="str">
        <f t="shared" si="2"/>
        <v>-</v>
      </c>
      <c r="AF9" s="44">
        <f t="shared" ca="1" si="3"/>
        <v>0</v>
      </c>
      <c r="AG9" s="45" t="str">
        <f t="shared" ca="1" si="4"/>
        <v>-</v>
      </c>
      <c r="AH9" s="43">
        <v>0</v>
      </c>
      <c r="AI9" s="46" t="s">
        <v>24</v>
      </c>
      <c r="AJ9" s="47"/>
      <c r="AL9" s="60" t="s">
        <v>26</v>
      </c>
      <c r="AM9" s="61">
        <f>AM7-SUM($Q$4:$Q$263)</f>
        <v>39844.14</v>
      </c>
      <c r="AQ9" s="48"/>
      <c r="AV9" s="32"/>
    </row>
    <row r="10" spans="2:48" ht="16.5" thickBot="1" x14ac:dyDescent="0.3">
      <c r="B10" s="15">
        <v>7</v>
      </c>
      <c r="C10" s="16">
        <f t="shared" si="13"/>
        <v>45810</v>
      </c>
      <c r="D10" s="17">
        <f t="shared" si="5"/>
        <v>2025</v>
      </c>
      <c r="E10" s="18">
        <f>I9</f>
        <v>339.25</v>
      </c>
      <c r="F10" s="18">
        <v>8.17</v>
      </c>
      <c r="G10" s="19">
        <f t="shared" si="6"/>
        <v>2.40825350036846E-2</v>
      </c>
      <c r="H10" s="18">
        <f t="shared" si="17"/>
        <v>0</v>
      </c>
      <c r="I10" s="18">
        <f t="shared" si="7"/>
        <v>347.42</v>
      </c>
      <c r="K10" s="18">
        <v>8.17</v>
      </c>
      <c r="L10" s="19">
        <v>2.5000000000000001E-2</v>
      </c>
      <c r="M10" s="18">
        <f t="shared" si="8"/>
        <v>0</v>
      </c>
      <c r="N10" s="18">
        <f t="shared" si="15"/>
        <v>345.45499999999998</v>
      </c>
      <c r="P10" s="20">
        <f t="shared" si="16"/>
        <v>100</v>
      </c>
      <c r="Q10" s="62">
        <v>71.959999999999994</v>
      </c>
      <c r="R10" s="22">
        <f t="shared" si="9"/>
        <v>0.71959999999999991</v>
      </c>
      <c r="S10" s="18">
        <v>0</v>
      </c>
      <c r="T10" s="18">
        <f t="shared" si="10"/>
        <v>171.95999999999998</v>
      </c>
      <c r="U10" s="41">
        <f>IF(SUM($U$4:U9)=1,0,IF(SUM($Q$4:Q10)&gt;39891.29,1,0))</f>
        <v>0</v>
      </c>
      <c r="V10" s="23">
        <f t="shared" ca="1" si="0"/>
        <v>-175.46000000000004</v>
      </c>
      <c r="W10" s="23">
        <f t="shared" ca="1" si="11"/>
        <v>-173.495</v>
      </c>
      <c r="X10" s="23">
        <f>SUM($Q$10:Q10)</f>
        <v>71.959999999999994</v>
      </c>
      <c r="Y10" s="50">
        <f>IF(Q10=0,Y9,COUNTIF($Q$4:Q10,"&gt;0")/COUNTIF($Q$4:Q10,"&lt;&gt;0"))</f>
        <v>0.5</v>
      </c>
      <c r="AA10" s="51">
        <f t="shared" si="12"/>
        <v>0.71959999999999991</v>
      </c>
      <c r="AB10" s="51">
        <f t="shared" si="1"/>
        <v>0.8414405986903648</v>
      </c>
      <c r="AC10" s="52">
        <v>85.52</v>
      </c>
      <c r="AD10" s="52">
        <v>0</v>
      </c>
      <c r="AE10" s="51">
        <f t="shared" si="2"/>
        <v>0.85519999999999996</v>
      </c>
      <c r="AF10" s="53">
        <f t="shared" ca="1" si="3"/>
        <v>0</v>
      </c>
      <c r="AG10" s="54" t="str">
        <f t="shared" ca="1" si="4"/>
        <v>-</v>
      </c>
      <c r="AH10" s="52">
        <v>1.04</v>
      </c>
      <c r="AI10" s="28" t="s">
        <v>24</v>
      </c>
      <c r="AJ10" s="55"/>
      <c r="AL10" s="63" t="s">
        <v>3</v>
      </c>
      <c r="AM10" s="64">
        <f>AM7-AM9</f>
        <v>47.150000000001455</v>
      </c>
      <c r="AQ10" s="48"/>
      <c r="AV10" s="32"/>
    </row>
    <row r="11" spans="2:48" ht="16.5" thickBot="1" x14ac:dyDescent="0.3">
      <c r="B11" s="33">
        <v>8</v>
      </c>
      <c r="C11" s="34">
        <f t="shared" si="13"/>
        <v>45817</v>
      </c>
      <c r="D11" s="35">
        <f t="shared" si="5"/>
        <v>2025</v>
      </c>
      <c r="E11" s="36">
        <f t="shared" si="14"/>
        <v>347.42</v>
      </c>
      <c r="F11" s="36">
        <v>8.41</v>
      </c>
      <c r="G11" s="37">
        <f t="shared" si="6"/>
        <v>2.4207011686143573E-2</v>
      </c>
      <c r="H11" s="36">
        <f t="shared" si="17"/>
        <v>50</v>
      </c>
      <c r="I11" s="36">
        <f t="shared" si="7"/>
        <v>405.83000000000004</v>
      </c>
      <c r="K11" s="36">
        <v>8.41</v>
      </c>
      <c r="L11" s="37">
        <v>2.5000000000000001E-2</v>
      </c>
      <c r="M11" s="36">
        <f t="shared" si="8"/>
        <v>50</v>
      </c>
      <c r="N11" s="36">
        <f t="shared" si="15"/>
        <v>403.86500000000001</v>
      </c>
      <c r="P11" s="38">
        <f t="shared" si="16"/>
        <v>171.95999999999998</v>
      </c>
      <c r="Q11" s="65">
        <v>104.89</v>
      </c>
      <c r="R11" s="40">
        <f t="shared" si="9"/>
        <v>0.60996743428704359</v>
      </c>
      <c r="S11" s="36">
        <v>50</v>
      </c>
      <c r="T11" s="36">
        <f t="shared" si="10"/>
        <v>326.84999999999997</v>
      </c>
      <c r="U11" s="41">
        <f>IF(SUM($U$4:U10)=1,0,IF(SUM($Q$4:Q11)&gt;39891.29,1,0))</f>
        <v>0</v>
      </c>
      <c r="V11" s="36">
        <f t="shared" ca="1" si="0"/>
        <v>-78.980000000000075</v>
      </c>
      <c r="W11" s="36">
        <f t="shared" ca="1" si="11"/>
        <v>-77.015000000000043</v>
      </c>
      <c r="X11" s="36">
        <f>SUM($Q$10:Q11)</f>
        <v>176.85</v>
      </c>
      <c r="Y11" s="37">
        <f>IF(Q11=0,Y10,COUNTIF($Q$4:Q11,"&gt;0")/COUNTIF($Q$4:Q11,"&lt;&gt;0"))</f>
        <v>0.6</v>
      </c>
      <c r="AA11" s="42">
        <f t="shared" si="12"/>
        <v>0.60996743428704359</v>
      </c>
      <c r="AB11" s="42">
        <f t="shared" si="1"/>
        <v>1</v>
      </c>
      <c r="AC11" s="43">
        <v>104.89</v>
      </c>
      <c r="AD11" s="43">
        <v>0</v>
      </c>
      <c r="AE11" s="42">
        <f t="shared" si="2"/>
        <v>0.60996743428704359</v>
      </c>
      <c r="AF11" s="44">
        <f t="shared" ca="1" si="3"/>
        <v>0</v>
      </c>
      <c r="AG11" s="45" t="str">
        <f t="shared" ca="1" si="4"/>
        <v>-</v>
      </c>
      <c r="AH11" s="43">
        <v>3.11</v>
      </c>
      <c r="AI11" s="46" t="s">
        <v>24</v>
      </c>
      <c r="AJ11" s="47"/>
      <c r="AQ11" s="48"/>
      <c r="AV11" s="32"/>
    </row>
    <row r="12" spans="2:48" ht="16.5" thickBot="1" x14ac:dyDescent="0.3">
      <c r="B12" s="15">
        <v>9</v>
      </c>
      <c r="C12" s="16">
        <f t="shared" si="13"/>
        <v>45824</v>
      </c>
      <c r="D12" s="17">
        <f t="shared" si="5"/>
        <v>2025</v>
      </c>
      <c r="E12" s="18">
        <f t="shared" si="14"/>
        <v>405.83000000000004</v>
      </c>
      <c r="F12" s="18">
        <v>8.66</v>
      </c>
      <c r="G12" s="19">
        <f t="shared" si="6"/>
        <v>2.1338984303772512E-2</v>
      </c>
      <c r="H12" s="18">
        <f t="shared" si="17"/>
        <v>0</v>
      </c>
      <c r="I12" s="18">
        <f t="shared" si="7"/>
        <v>414.49000000000007</v>
      </c>
      <c r="K12" s="18">
        <v>8.66</v>
      </c>
      <c r="L12" s="19">
        <v>2.5000000000000001E-2</v>
      </c>
      <c r="M12" s="18">
        <f t="shared" si="8"/>
        <v>0</v>
      </c>
      <c r="N12" s="18">
        <f t="shared" si="15"/>
        <v>412.52500000000003</v>
      </c>
      <c r="P12" s="20">
        <f t="shared" si="16"/>
        <v>326.84999999999997</v>
      </c>
      <c r="Q12" s="62">
        <v>109.81</v>
      </c>
      <c r="R12" s="22">
        <f t="shared" si="9"/>
        <v>0.3359645097139361</v>
      </c>
      <c r="S12" s="18">
        <v>0</v>
      </c>
      <c r="T12" s="18">
        <f t="shared" si="10"/>
        <v>436.65999999999997</v>
      </c>
      <c r="U12" s="41">
        <f>IF(SUM($U$4:U11)=1,0,IF(SUM($Q$4:Q12)&gt;39891.29,1,0))</f>
        <v>0</v>
      </c>
      <c r="V12" s="23">
        <f t="shared" ca="1" si="0"/>
        <v>22.169999999999902</v>
      </c>
      <c r="W12" s="23">
        <f t="shared" ca="1" si="11"/>
        <v>24.134999999999934</v>
      </c>
      <c r="X12" s="23">
        <f>SUM($Q$10:Q12)</f>
        <v>286.65999999999997</v>
      </c>
      <c r="Y12" s="50">
        <f>IF(Q12=0,Y11,COUNTIF($Q$4:Q12,"&gt;0")/COUNTIF($Q$4:Q12,"&lt;&gt;0"))</f>
        <v>0.66666666666666663</v>
      </c>
      <c r="AA12" s="51">
        <f t="shared" si="12"/>
        <v>0.3359645097139361</v>
      </c>
      <c r="AB12" s="51">
        <f t="shared" si="1"/>
        <v>0.32527622263692646</v>
      </c>
      <c r="AC12" s="52">
        <v>337.59</v>
      </c>
      <c r="AD12" s="52">
        <v>0</v>
      </c>
      <c r="AE12" s="51">
        <f t="shared" si="2"/>
        <v>1.032859109683341</v>
      </c>
      <c r="AF12" s="53">
        <f t="shared" ca="1" si="3"/>
        <v>4.4339999999999806</v>
      </c>
      <c r="AG12" s="54">
        <f t="shared" ca="1" si="4"/>
        <v>1.9530897609382134</v>
      </c>
      <c r="AH12" s="52">
        <v>5.18</v>
      </c>
      <c r="AI12" s="28" t="s">
        <v>24</v>
      </c>
      <c r="AJ12" s="55"/>
      <c r="AQ12" s="48"/>
      <c r="AV12" s="32"/>
    </row>
    <row r="13" spans="2:48" ht="16.5" thickBot="1" x14ac:dyDescent="0.3">
      <c r="B13" s="33">
        <v>10</v>
      </c>
      <c r="C13" s="34">
        <f t="shared" si="13"/>
        <v>45831</v>
      </c>
      <c r="D13" s="35">
        <f t="shared" si="5"/>
        <v>2025</v>
      </c>
      <c r="E13" s="36">
        <f t="shared" si="14"/>
        <v>414.49000000000007</v>
      </c>
      <c r="F13" s="36">
        <v>8.92</v>
      </c>
      <c r="G13" s="37">
        <f t="shared" si="6"/>
        <v>2.1520422688122751E-2</v>
      </c>
      <c r="H13" s="36">
        <f t="shared" si="17"/>
        <v>50</v>
      </c>
      <c r="I13" s="36">
        <f t="shared" si="7"/>
        <v>473.41000000000008</v>
      </c>
      <c r="K13" s="36">
        <v>8.92</v>
      </c>
      <c r="L13" s="37">
        <v>2.5000000000000001E-2</v>
      </c>
      <c r="M13" s="36">
        <f t="shared" si="8"/>
        <v>50</v>
      </c>
      <c r="N13" s="36">
        <f t="shared" si="15"/>
        <v>471.44500000000005</v>
      </c>
      <c r="P13" s="38">
        <f t="shared" si="16"/>
        <v>436.65999999999997</v>
      </c>
      <c r="Q13" s="56">
        <v>-425.01</v>
      </c>
      <c r="R13" s="40">
        <f t="shared" si="9"/>
        <v>-0.97332020336188341</v>
      </c>
      <c r="S13" s="36">
        <v>50</v>
      </c>
      <c r="T13" s="36">
        <f>P13+Q13+S13</f>
        <v>61.649999999999977</v>
      </c>
      <c r="U13" s="41">
        <f>IF(SUM($U$4:U12)=1,0,IF(SUM($Q$4:Q13)&gt;39891.29,1,0))</f>
        <v>0</v>
      </c>
      <c r="V13" s="36">
        <f t="shared" ca="1" si="0"/>
        <v>-411.7600000000001</v>
      </c>
      <c r="W13" s="36">
        <f t="shared" ca="1" si="11"/>
        <v>-409.79500000000007</v>
      </c>
      <c r="X13" s="36">
        <f>SUM($Q$10:Q13)</f>
        <v>-138.35000000000002</v>
      </c>
      <c r="Y13" s="37">
        <f>IF(Q13=0,Y12,COUNTIF($Q$4:Q13,"&gt;0")/COUNTIF($Q$4:Q13,"&lt;&gt;0"))</f>
        <v>0.5714285714285714</v>
      </c>
      <c r="AA13" s="42">
        <f t="shared" si="12"/>
        <v>-0.97332020336188341</v>
      </c>
      <c r="AB13" s="42">
        <f t="shared" si="1"/>
        <v>-0.91301825993555319</v>
      </c>
      <c r="AC13" s="43">
        <v>465.5</v>
      </c>
      <c r="AD13" s="43">
        <v>0</v>
      </c>
      <c r="AE13" s="42">
        <f t="shared" si="2"/>
        <v>1.06604680987496</v>
      </c>
      <c r="AF13" s="44">
        <f t="shared" ca="1" si="3"/>
        <v>0</v>
      </c>
      <c r="AG13" s="45" t="str">
        <f t="shared" ca="1" si="4"/>
        <v>-</v>
      </c>
      <c r="AH13" s="43">
        <v>15.5</v>
      </c>
      <c r="AI13" s="46" t="s">
        <v>24</v>
      </c>
      <c r="AJ13" s="47"/>
      <c r="AL13" s="48"/>
      <c r="AQ13" s="48"/>
      <c r="AV13" s="32"/>
    </row>
    <row r="14" spans="2:48" ht="16.5" thickBot="1" x14ac:dyDescent="0.3">
      <c r="B14" s="15">
        <v>11</v>
      </c>
      <c r="C14" s="16">
        <f t="shared" si="13"/>
        <v>45838</v>
      </c>
      <c r="D14" s="17">
        <f t="shared" si="5"/>
        <v>2025</v>
      </c>
      <c r="E14" s="18">
        <f t="shared" si="14"/>
        <v>473.41000000000008</v>
      </c>
      <c r="F14" s="18">
        <v>9.19</v>
      </c>
      <c r="G14" s="19">
        <f t="shared" si="6"/>
        <v>1.9412348704083138E-2</v>
      </c>
      <c r="H14" s="18">
        <f t="shared" si="17"/>
        <v>0</v>
      </c>
      <c r="I14" s="18">
        <f t="shared" si="7"/>
        <v>482.60000000000008</v>
      </c>
      <c r="K14" s="18">
        <v>9.19</v>
      </c>
      <c r="L14" s="19">
        <v>2.5000000000000001E-2</v>
      </c>
      <c r="M14" s="18">
        <f t="shared" si="8"/>
        <v>0</v>
      </c>
      <c r="N14" s="18">
        <f t="shared" si="15"/>
        <v>480.63500000000005</v>
      </c>
      <c r="P14" s="20">
        <f t="shared" si="16"/>
        <v>61.649999999999977</v>
      </c>
      <c r="Q14" s="59">
        <v>0</v>
      </c>
      <c r="R14" s="22" t="str">
        <f t="shared" si="9"/>
        <v>-</v>
      </c>
      <c r="S14" s="18">
        <v>0</v>
      </c>
      <c r="T14" s="18">
        <f t="shared" si="10"/>
        <v>61.649999999999977</v>
      </c>
      <c r="U14" s="41">
        <f>IF(SUM($U$4:U13)=1,0,IF(SUM($Q$4:Q14)&gt;39891.29,1,0))</f>
        <v>0</v>
      </c>
      <c r="V14" s="23">
        <f t="shared" ca="1" si="0"/>
        <v>-420.9500000000001</v>
      </c>
      <c r="W14" s="23">
        <f t="shared" ca="1" si="11"/>
        <v>-418.98500000000007</v>
      </c>
      <c r="X14" s="23">
        <f ca="1">IF(TODAY()&lt;D14,0,(U14-O14))</f>
        <v>0</v>
      </c>
      <c r="Y14" s="50">
        <f>IF(Q14=0,Y13,COUNTIF($Q$4:Q14,"&gt;0")/COUNTIF($Q$4:Q14,"&lt;&gt;0"))</f>
        <v>0.5714285714285714</v>
      </c>
      <c r="AA14" s="51" t="str">
        <f t="shared" si="12"/>
        <v>-</v>
      </c>
      <c r="AB14" s="51" t="str">
        <f t="shared" si="1"/>
        <v>-</v>
      </c>
      <c r="AC14" s="52">
        <v>0</v>
      </c>
      <c r="AD14" s="52">
        <v>0</v>
      </c>
      <c r="AE14" s="51" t="str">
        <f t="shared" si="2"/>
        <v>-</v>
      </c>
      <c r="AF14" s="53">
        <f t="shared" ca="1" si="3"/>
        <v>0</v>
      </c>
      <c r="AG14" s="54" t="str">
        <f t="shared" ca="1" si="4"/>
        <v>-</v>
      </c>
      <c r="AH14" s="52">
        <v>0</v>
      </c>
      <c r="AI14" s="28" t="s">
        <v>24</v>
      </c>
      <c r="AJ14" s="55"/>
      <c r="AL14" s="48"/>
      <c r="AM14" s="66"/>
      <c r="AQ14" s="48"/>
      <c r="AV14" s="32"/>
    </row>
    <row r="15" spans="2:48" ht="16.5" thickBot="1" x14ac:dyDescent="0.3">
      <c r="B15" s="33">
        <v>12</v>
      </c>
      <c r="C15" s="34">
        <f t="shared" si="13"/>
        <v>45845</v>
      </c>
      <c r="D15" s="35">
        <f t="shared" si="5"/>
        <v>2025</v>
      </c>
      <c r="E15" s="36">
        <f t="shared" si="14"/>
        <v>482.60000000000008</v>
      </c>
      <c r="F15" s="36">
        <v>9.4700000000000006</v>
      </c>
      <c r="G15" s="37">
        <f t="shared" si="6"/>
        <v>1.9622876087857438E-2</v>
      </c>
      <c r="H15" s="36">
        <f t="shared" si="17"/>
        <v>50</v>
      </c>
      <c r="I15" s="36">
        <f t="shared" si="7"/>
        <v>542.07000000000016</v>
      </c>
      <c r="K15" s="36">
        <v>9.4700000000000006</v>
      </c>
      <c r="L15" s="37">
        <v>2.5000000000000001E-2</v>
      </c>
      <c r="M15" s="36">
        <f t="shared" si="8"/>
        <v>50</v>
      </c>
      <c r="N15" s="36">
        <f t="shared" si="15"/>
        <v>540.10500000000002</v>
      </c>
      <c r="P15" s="38">
        <f t="shared" si="16"/>
        <v>61.649999999999977</v>
      </c>
      <c r="Q15" s="56">
        <v>0</v>
      </c>
      <c r="R15" s="40" t="str">
        <f t="shared" si="9"/>
        <v>-</v>
      </c>
      <c r="S15" s="36">
        <v>50</v>
      </c>
      <c r="T15" s="36">
        <f t="shared" si="10"/>
        <v>111.64999999999998</v>
      </c>
      <c r="U15" s="41">
        <f>IF(SUM($U$4:U14)=1,0,IF(SUM($Q$4:Q15)&gt;39891.29,1,0))</f>
        <v>0</v>
      </c>
      <c r="V15" s="36">
        <f t="shared" ca="1" si="0"/>
        <v>-430.42000000000019</v>
      </c>
      <c r="W15" s="36">
        <f t="shared" ca="1" si="11"/>
        <v>-428.45500000000004</v>
      </c>
      <c r="X15" s="36">
        <f ca="1">IF(TODAY()&lt;D15,0,(U15-O15))</f>
        <v>0</v>
      </c>
      <c r="Y15" s="37">
        <f>IF(Q15=0,Y14,COUNTIF($Q$4:Q15,"&gt;0")/COUNTIF($Q$4:Q15,"&lt;&gt;0"))</f>
        <v>0.5714285714285714</v>
      </c>
      <c r="AA15" s="42" t="str">
        <f t="shared" si="12"/>
        <v>-</v>
      </c>
      <c r="AB15" s="42" t="str">
        <f t="shared" si="1"/>
        <v>-</v>
      </c>
      <c r="AC15" s="43">
        <v>0</v>
      </c>
      <c r="AD15" s="43">
        <v>0</v>
      </c>
      <c r="AE15" s="42" t="str">
        <f t="shared" si="2"/>
        <v>-</v>
      </c>
      <c r="AF15" s="44">
        <f t="shared" ca="1" si="3"/>
        <v>0</v>
      </c>
      <c r="AG15" s="45" t="str">
        <f t="shared" ca="1" si="4"/>
        <v>-</v>
      </c>
      <c r="AH15" s="43">
        <v>0</v>
      </c>
      <c r="AI15" s="46" t="s">
        <v>24</v>
      </c>
      <c r="AJ15" s="47"/>
      <c r="AL15" s="48"/>
      <c r="AM15" s="66"/>
      <c r="AQ15" s="48"/>
      <c r="AV15" s="32"/>
    </row>
    <row r="16" spans="2:48" ht="16.5" thickBot="1" x14ac:dyDescent="0.3">
      <c r="B16" s="15">
        <v>13</v>
      </c>
      <c r="C16" s="16">
        <f t="shared" si="13"/>
        <v>45852</v>
      </c>
      <c r="D16" s="17">
        <f t="shared" si="5"/>
        <v>2025</v>
      </c>
      <c r="E16" s="18">
        <f t="shared" si="14"/>
        <v>542.07000000000016</v>
      </c>
      <c r="F16" s="18">
        <v>9.75</v>
      </c>
      <c r="G16" s="19">
        <f t="shared" si="6"/>
        <v>1.7986606895788362E-2</v>
      </c>
      <c r="H16" s="18">
        <f t="shared" si="17"/>
        <v>0</v>
      </c>
      <c r="I16" s="18">
        <f t="shared" si="7"/>
        <v>551.82000000000016</v>
      </c>
      <c r="K16" s="18">
        <v>9.75</v>
      </c>
      <c r="L16" s="19">
        <v>2.5000000000000001E-2</v>
      </c>
      <c r="M16" s="18">
        <f t="shared" si="8"/>
        <v>0</v>
      </c>
      <c r="N16" s="18">
        <f t="shared" si="15"/>
        <v>549.85500000000002</v>
      </c>
      <c r="P16" s="20">
        <f t="shared" si="16"/>
        <v>111.64999999999998</v>
      </c>
      <c r="Q16" s="59">
        <v>0</v>
      </c>
      <c r="R16" s="22" t="str">
        <f t="shared" si="9"/>
        <v>-</v>
      </c>
      <c r="S16" s="18">
        <v>0</v>
      </c>
      <c r="T16" s="18">
        <f t="shared" si="10"/>
        <v>111.64999999999998</v>
      </c>
      <c r="U16" s="41">
        <f>IF(SUM($U$4:U15)=1,0,IF(SUM($Q$4:Q16)&gt;39891.29,1,0))</f>
        <v>0</v>
      </c>
      <c r="V16" s="23">
        <f t="shared" ca="1" si="0"/>
        <v>-440.17000000000019</v>
      </c>
      <c r="W16" s="23">
        <f t="shared" ca="1" si="11"/>
        <v>-438.20500000000004</v>
      </c>
      <c r="X16" s="23">
        <f ca="1">IF(TODAY()&lt;D16,0,(U16-O16))</f>
        <v>0</v>
      </c>
      <c r="Y16" s="50">
        <f>IF(Q16=0,Y15,COUNTIF($Q$4:Q16,"&gt;0")/COUNTIF($Q$4:Q16,"&lt;&gt;0"))</f>
        <v>0.5714285714285714</v>
      </c>
      <c r="AA16" s="51" t="str">
        <f t="shared" si="12"/>
        <v>-</v>
      </c>
      <c r="AB16" s="51" t="str">
        <f t="shared" si="1"/>
        <v>-</v>
      </c>
      <c r="AC16" s="52">
        <v>0</v>
      </c>
      <c r="AD16" s="52">
        <v>0</v>
      </c>
      <c r="AE16" s="51" t="str">
        <f t="shared" si="2"/>
        <v>-</v>
      </c>
      <c r="AF16" s="53">
        <f t="shared" ca="1" si="3"/>
        <v>0</v>
      </c>
      <c r="AG16" s="54" t="str">
        <f t="shared" ca="1" si="4"/>
        <v>-</v>
      </c>
      <c r="AH16" s="52">
        <v>0</v>
      </c>
      <c r="AI16" s="28" t="s">
        <v>24</v>
      </c>
      <c r="AJ16" s="55"/>
      <c r="AL16" s="48"/>
      <c r="AQ16" s="48"/>
      <c r="AV16" s="32"/>
    </row>
    <row r="17" spans="2:48" ht="16.5" thickBot="1" x14ac:dyDescent="0.3">
      <c r="B17" s="33">
        <v>14</v>
      </c>
      <c r="C17" s="34">
        <f t="shared" si="13"/>
        <v>45859</v>
      </c>
      <c r="D17" s="35">
        <f t="shared" si="5"/>
        <v>2025</v>
      </c>
      <c r="E17" s="36">
        <f t="shared" si="14"/>
        <v>551.82000000000016</v>
      </c>
      <c r="F17" s="36">
        <v>10.039999999999999</v>
      </c>
      <c r="G17" s="37">
        <f t="shared" si="6"/>
        <v>1.8194338733645021E-2</v>
      </c>
      <c r="H17" s="36">
        <f t="shared" si="17"/>
        <v>100</v>
      </c>
      <c r="I17" s="36">
        <f>E17+F17+H17</f>
        <v>661.86000000000013</v>
      </c>
      <c r="K17" s="36">
        <v>10.039999999999999</v>
      </c>
      <c r="L17" s="37">
        <v>2.5000000000000001E-2</v>
      </c>
      <c r="M17" s="36">
        <f t="shared" si="8"/>
        <v>100</v>
      </c>
      <c r="N17" s="36">
        <f t="shared" si="15"/>
        <v>659.89499999999998</v>
      </c>
      <c r="P17" s="38">
        <f t="shared" si="16"/>
        <v>111.64999999999998</v>
      </c>
      <c r="Q17" s="56">
        <v>0</v>
      </c>
      <c r="R17" s="40" t="str">
        <f t="shared" si="9"/>
        <v>-</v>
      </c>
      <c r="S17" s="36">
        <v>100</v>
      </c>
      <c r="T17" s="36">
        <f t="shared" si="10"/>
        <v>211.64999999999998</v>
      </c>
      <c r="U17" s="41">
        <f>IF(SUM($U$4:U16)=1,0,IF(SUM($Q$4:Q17)&gt;39891.29,1,0))</f>
        <v>0</v>
      </c>
      <c r="V17" s="36">
        <f t="shared" ca="1" si="0"/>
        <v>-450.21000000000015</v>
      </c>
      <c r="W17" s="36">
        <f t="shared" ca="1" si="11"/>
        <v>-448.245</v>
      </c>
      <c r="X17" s="36">
        <f ca="1">IF(TODAY()&lt;D17,0,(U17-O17))</f>
        <v>0</v>
      </c>
      <c r="Y17" s="37">
        <f>IF(Q17=0,Y16,COUNTIF($Q$4:Q17,"&gt;0")/COUNTIF($Q$4:Q17,"&lt;&gt;0"))</f>
        <v>0.5714285714285714</v>
      </c>
      <c r="AA17" s="42" t="str">
        <f t="shared" si="12"/>
        <v>-</v>
      </c>
      <c r="AB17" s="42" t="str">
        <f t="shared" si="1"/>
        <v>-</v>
      </c>
      <c r="AC17" s="43">
        <v>0</v>
      </c>
      <c r="AD17" s="43">
        <v>0</v>
      </c>
      <c r="AE17" s="42" t="str">
        <f t="shared" si="2"/>
        <v>-</v>
      </c>
      <c r="AF17" s="44">
        <f t="shared" ca="1" si="3"/>
        <v>0</v>
      </c>
      <c r="AG17" s="45" t="str">
        <f t="shared" ca="1" si="4"/>
        <v>-</v>
      </c>
      <c r="AH17" s="43">
        <v>0</v>
      </c>
      <c r="AI17" s="46" t="s">
        <v>24</v>
      </c>
      <c r="AJ17" s="47"/>
      <c r="AL17" s="48"/>
      <c r="AQ17" s="48"/>
      <c r="AV17" s="32"/>
    </row>
    <row r="18" spans="2:48" ht="16.5" thickBot="1" x14ac:dyDescent="0.3">
      <c r="B18" s="15">
        <v>15</v>
      </c>
      <c r="C18" s="16">
        <f t="shared" si="13"/>
        <v>45866</v>
      </c>
      <c r="D18" s="17">
        <f t="shared" si="5"/>
        <v>2025</v>
      </c>
      <c r="E18" s="18">
        <f t="shared" si="14"/>
        <v>661.86000000000013</v>
      </c>
      <c r="F18" s="18">
        <v>10.35</v>
      </c>
      <c r="G18" s="19">
        <f t="shared" si="6"/>
        <v>1.5637748164264342E-2</v>
      </c>
      <c r="H18" s="18">
        <f t="shared" si="17"/>
        <v>0</v>
      </c>
      <c r="I18" s="18">
        <f t="shared" si="7"/>
        <v>672.21000000000015</v>
      </c>
      <c r="K18" s="18">
        <v>10.35</v>
      </c>
      <c r="L18" s="19">
        <v>2.5000000000000001E-2</v>
      </c>
      <c r="M18" s="18">
        <f t="shared" si="8"/>
        <v>0</v>
      </c>
      <c r="N18" s="18">
        <f t="shared" si="15"/>
        <v>670.245</v>
      </c>
      <c r="P18" s="20">
        <f t="shared" si="16"/>
        <v>211.64999999999998</v>
      </c>
      <c r="Q18" s="59">
        <v>0</v>
      </c>
      <c r="R18" s="22" t="str">
        <f t="shared" si="9"/>
        <v>-</v>
      </c>
      <c r="S18" s="18">
        <v>0</v>
      </c>
      <c r="T18" s="18">
        <f t="shared" si="10"/>
        <v>211.64999999999998</v>
      </c>
      <c r="U18" s="41">
        <f>IF(SUM($U$4:U17)=1,0,IF(SUM($Q$4:Q18)&gt;39891.29,1,0))</f>
        <v>0</v>
      </c>
      <c r="V18" s="23">
        <f t="shared" ca="1" si="0"/>
        <v>-460.56000000000017</v>
      </c>
      <c r="W18" s="23">
        <f t="shared" ca="1" si="11"/>
        <v>-458.59500000000003</v>
      </c>
      <c r="X18" s="23">
        <f ca="1">IF(TODAY()&lt;D18,0,(U18-O18))</f>
        <v>0</v>
      </c>
      <c r="Y18" s="50">
        <f>IF(Q18=0,Y17,COUNTIF($Q$4:Q18,"&gt;0")/COUNTIF($Q$4:Q18,"&lt;&gt;0"))</f>
        <v>0.5714285714285714</v>
      </c>
      <c r="AA18" s="51" t="str">
        <f t="shared" si="12"/>
        <v>-</v>
      </c>
      <c r="AB18" s="51" t="str">
        <f t="shared" si="1"/>
        <v>-</v>
      </c>
      <c r="AC18" s="52">
        <v>0</v>
      </c>
      <c r="AD18" s="52">
        <v>0</v>
      </c>
      <c r="AE18" s="51" t="str">
        <f t="shared" si="2"/>
        <v>-</v>
      </c>
      <c r="AF18" s="53">
        <f t="shared" ca="1" si="3"/>
        <v>0</v>
      </c>
      <c r="AG18" s="54" t="str">
        <f t="shared" ca="1" si="4"/>
        <v>-</v>
      </c>
      <c r="AH18" s="52">
        <v>0</v>
      </c>
      <c r="AI18" s="28" t="s">
        <v>24</v>
      </c>
      <c r="AJ18" s="55"/>
      <c r="AL18" s="48"/>
      <c r="AQ18" s="48"/>
      <c r="AV18" s="32"/>
    </row>
    <row r="19" spans="2:48" ht="16.5" thickBot="1" x14ac:dyDescent="0.3">
      <c r="B19" s="33">
        <v>16</v>
      </c>
      <c r="C19" s="34">
        <f t="shared" si="13"/>
        <v>45873</v>
      </c>
      <c r="D19" s="35">
        <f t="shared" si="5"/>
        <v>2025</v>
      </c>
      <c r="E19" s="36">
        <f t="shared" si="14"/>
        <v>672.21000000000015</v>
      </c>
      <c r="F19" s="36">
        <v>10.66</v>
      </c>
      <c r="G19" s="37">
        <f t="shared" si="6"/>
        <v>1.5858139569479773E-2</v>
      </c>
      <c r="H19" s="36">
        <f t="shared" si="17"/>
        <v>50</v>
      </c>
      <c r="I19" s="36">
        <f t="shared" si="7"/>
        <v>732.87000000000012</v>
      </c>
      <c r="K19" s="36">
        <v>10.66</v>
      </c>
      <c r="L19" s="37">
        <v>2.5000000000000001E-2</v>
      </c>
      <c r="M19" s="36">
        <f t="shared" si="8"/>
        <v>50</v>
      </c>
      <c r="N19" s="36">
        <f t="shared" si="15"/>
        <v>730.90499999999997</v>
      </c>
      <c r="P19" s="38">
        <f t="shared" si="16"/>
        <v>211.64999999999998</v>
      </c>
      <c r="Q19" s="56">
        <v>425.72</v>
      </c>
      <c r="R19" s="40">
        <f t="shared" si="9"/>
        <v>2.0114339711788332</v>
      </c>
      <c r="S19" s="36">
        <v>50</v>
      </c>
      <c r="T19" s="36">
        <f t="shared" si="10"/>
        <v>687.37</v>
      </c>
      <c r="U19" s="41">
        <f>IF(SUM($U$4:U18)=1,0,IF(SUM($Q$4:Q19)&gt;39891.29,1,0))</f>
        <v>0</v>
      </c>
      <c r="V19" s="36">
        <f t="shared" ca="1" si="0"/>
        <v>-45.500000000000114</v>
      </c>
      <c r="W19" s="36">
        <f t="shared" ca="1" si="11"/>
        <v>-43.534999999999968</v>
      </c>
      <c r="X19" s="36">
        <f>SUM($Q$19:Q19)</f>
        <v>425.72</v>
      </c>
      <c r="Y19" s="37">
        <f>IF(Q19=0,Y18,COUNTIF($Q$4:Q19,"&gt;0")/COUNTIF($Q$4:Q19,"&lt;&gt;0"))</f>
        <v>0.625</v>
      </c>
      <c r="AA19" s="42">
        <f t="shared" si="12"/>
        <v>2.0114339711788332</v>
      </c>
      <c r="AB19" s="42">
        <f t="shared" si="1"/>
        <v>0.56124345774063</v>
      </c>
      <c r="AC19" s="43">
        <v>758.53</v>
      </c>
      <c r="AD19" s="43">
        <v>0</v>
      </c>
      <c r="AE19" s="42">
        <f t="shared" si="2"/>
        <v>3.5838884951570993</v>
      </c>
      <c r="AF19" s="44">
        <f t="shared" ca="1" si="3"/>
        <v>0</v>
      </c>
      <c r="AG19" s="45" t="str">
        <f t="shared" ca="1" si="4"/>
        <v>-</v>
      </c>
      <c r="AH19" s="43">
        <v>69.239999999999995</v>
      </c>
      <c r="AI19" s="46" t="s">
        <v>24</v>
      </c>
      <c r="AJ19" s="47"/>
      <c r="AL19" s="48"/>
      <c r="AQ19" s="48"/>
      <c r="AV19" s="32"/>
    </row>
    <row r="20" spans="2:48" ht="16.5" thickBot="1" x14ac:dyDescent="0.3">
      <c r="B20" s="15">
        <v>17</v>
      </c>
      <c r="C20" s="16">
        <f t="shared" si="13"/>
        <v>45880</v>
      </c>
      <c r="D20" s="17">
        <f t="shared" si="5"/>
        <v>2025</v>
      </c>
      <c r="E20" s="18">
        <f t="shared" si="14"/>
        <v>732.87000000000012</v>
      </c>
      <c r="F20" s="18">
        <v>10.98</v>
      </c>
      <c r="G20" s="19">
        <f t="shared" si="6"/>
        <v>1.4982193294854474E-2</v>
      </c>
      <c r="H20" s="18">
        <f t="shared" si="17"/>
        <v>0</v>
      </c>
      <c r="I20" s="18">
        <f>E20+F20+H20</f>
        <v>743.85000000000014</v>
      </c>
      <c r="K20" s="18">
        <v>10.98</v>
      </c>
      <c r="L20" s="19">
        <v>2.5000000000000001E-2</v>
      </c>
      <c r="M20" s="18">
        <f t="shared" si="8"/>
        <v>0</v>
      </c>
      <c r="N20" s="18">
        <f t="shared" si="15"/>
        <v>741.88499999999999</v>
      </c>
      <c r="P20" s="20">
        <f t="shared" si="16"/>
        <v>687.37</v>
      </c>
      <c r="Q20" s="59">
        <f>501.61+50</f>
        <v>551.61</v>
      </c>
      <c r="R20" s="22">
        <f t="shared" si="9"/>
        <v>0.80249356241907566</v>
      </c>
      <c r="S20" s="18">
        <v>0</v>
      </c>
      <c r="T20" s="18">
        <f t="shared" si="10"/>
        <v>1238.98</v>
      </c>
      <c r="U20" s="41">
        <f>IF(SUM($U$4:U19)=1,0,IF(SUM($Q$4:Q20)&gt;39891.29,1,0))</f>
        <v>0</v>
      </c>
      <c r="V20" s="23">
        <f t="shared" ca="1" si="0"/>
        <v>495.12999999999988</v>
      </c>
      <c r="W20" s="23">
        <f t="shared" ca="1" si="11"/>
        <v>497.09500000000003</v>
      </c>
      <c r="X20" s="23">
        <f>SUM($Q$19:Q20)</f>
        <v>977.33</v>
      </c>
      <c r="Y20" s="50">
        <f>IF(Q20=0,Y19,COUNTIF($Q$4:Q20,"&gt;0")/COUNTIF($Q$4:Q20,"&lt;&gt;0"))</f>
        <v>0.66666666666666663</v>
      </c>
      <c r="AA20" s="51">
        <f t="shared" si="12"/>
        <v>0.80249356241907566</v>
      </c>
      <c r="AB20" s="51">
        <f t="shared" si="1"/>
        <v>0.64122802938714774</v>
      </c>
      <c r="AC20" s="52">
        <v>860.24</v>
      </c>
      <c r="AD20" s="52">
        <v>0</v>
      </c>
      <c r="AE20" s="51">
        <f t="shared" si="2"/>
        <v>1.2514948281129523</v>
      </c>
      <c r="AF20" s="53">
        <f t="shared" ca="1" si="3"/>
        <v>99.025999999999982</v>
      </c>
      <c r="AG20" s="54">
        <f t="shared" ca="1" si="4"/>
        <v>0.11087997091672896</v>
      </c>
      <c r="AH20" s="52">
        <v>84.71</v>
      </c>
      <c r="AI20" s="28" t="s">
        <v>24</v>
      </c>
      <c r="AJ20" s="55"/>
      <c r="AL20" s="48"/>
      <c r="AQ20" s="48"/>
      <c r="AV20" s="32"/>
    </row>
    <row r="21" spans="2:48" ht="16.5" thickBot="1" x14ac:dyDescent="0.3">
      <c r="B21" s="33">
        <v>18</v>
      </c>
      <c r="C21" s="34">
        <f t="shared" si="13"/>
        <v>45887</v>
      </c>
      <c r="D21" s="35">
        <f t="shared" si="5"/>
        <v>2025</v>
      </c>
      <c r="E21" s="36">
        <f t="shared" si="14"/>
        <v>743.85000000000014</v>
      </c>
      <c r="F21" s="36">
        <v>11.31</v>
      </c>
      <c r="G21" s="37">
        <f t="shared" si="6"/>
        <v>1.5204678362573098E-2</v>
      </c>
      <c r="H21" s="36">
        <f t="shared" si="17"/>
        <v>50</v>
      </c>
      <c r="I21" s="36">
        <f t="shared" si="7"/>
        <v>805.16000000000008</v>
      </c>
      <c r="K21" s="36">
        <v>11.31</v>
      </c>
      <c r="L21" s="37">
        <v>2.5000000000000001E-2</v>
      </c>
      <c r="M21" s="36">
        <f t="shared" si="8"/>
        <v>50</v>
      </c>
      <c r="N21" s="36">
        <f t="shared" si="15"/>
        <v>803.19499999999994</v>
      </c>
      <c r="P21" s="38">
        <f t="shared" si="16"/>
        <v>1238.98</v>
      </c>
      <c r="Q21" s="56">
        <v>-11</v>
      </c>
      <c r="R21" s="40">
        <f t="shared" si="9"/>
        <v>-8.8782708356874209E-3</v>
      </c>
      <c r="S21" s="36">
        <v>50</v>
      </c>
      <c r="T21" s="36">
        <f t="shared" si="10"/>
        <v>1277.98</v>
      </c>
      <c r="U21" s="41">
        <f>IF(SUM($U$4:U20)=1,0,IF(SUM($Q$4:Q21)&gt;39891.29,1,0))</f>
        <v>0</v>
      </c>
      <c r="V21" s="36">
        <f t="shared" ca="1" si="0"/>
        <v>472.81999999999994</v>
      </c>
      <c r="W21" s="36">
        <f t="shared" ca="1" si="11"/>
        <v>474.78500000000008</v>
      </c>
      <c r="X21" s="36">
        <f>SUM($Q$19:Q21)</f>
        <v>966.33</v>
      </c>
      <c r="Y21" s="37">
        <f>IF(Q21=0,Y20,COUNTIF($Q$4:Q21,"&gt;0")/COUNTIF($Q$4:Q21,"&lt;&gt;0"))</f>
        <v>0.6</v>
      </c>
      <c r="AA21" s="42">
        <f t="shared" si="12"/>
        <v>-8.8782708356874209E-3</v>
      </c>
      <c r="AB21" s="42">
        <f t="shared" si="1"/>
        <v>-5.15256269731973E-3</v>
      </c>
      <c r="AC21" s="43">
        <v>2134.86</v>
      </c>
      <c r="AD21" s="43">
        <v>0</v>
      </c>
      <c r="AE21" s="42">
        <f t="shared" si="2"/>
        <v>1.7230786614796043</v>
      </c>
      <c r="AF21" s="44">
        <f t="shared" ca="1" si="3"/>
        <v>94.563999999999993</v>
      </c>
      <c r="AG21" s="45">
        <f t="shared" ca="1" si="4"/>
        <v>0.11960153969798233</v>
      </c>
      <c r="AH21" s="43">
        <v>134.25</v>
      </c>
      <c r="AI21" s="46" t="s">
        <v>24</v>
      </c>
      <c r="AJ21" s="47"/>
      <c r="AL21" s="48"/>
      <c r="AQ21" s="48"/>
      <c r="AV21" s="32"/>
    </row>
    <row r="22" spans="2:48" ht="16.5" thickBot="1" x14ac:dyDescent="0.3">
      <c r="B22" s="15">
        <v>19</v>
      </c>
      <c r="C22" s="16">
        <f t="shared" si="13"/>
        <v>45894</v>
      </c>
      <c r="D22" s="17">
        <f t="shared" si="5"/>
        <v>2025</v>
      </c>
      <c r="E22" s="18">
        <f t="shared" si="14"/>
        <v>805.16000000000008</v>
      </c>
      <c r="F22" s="18">
        <v>11.64</v>
      </c>
      <c r="G22" s="19">
        <f t="shared" si="6"/>
        <v>1.4456753937105668E-2</v>
      </c>
      <c r="H22" s="18">
        <f t="shared" si="17"/>
        <v>0</v>
      </c>
      <c r="I22" s="18">
        <f t="shared" si="7"/>
        <v>816.80000000000007</v>
      </c>
      <c r="K22" s="18">
        <v>11.64</v>
      </c>
      <c r="L22" s="19">
        <v>2.5000000000000001E-2</v>
      </c>
      <c r="M22" s="18">
        <f t="shared" si="8"/>
        <v>0</v>
      </c>
      <c r="N22" s="18">
        <f t="shared" si="15"/>
        <v>814.83499999999992</v>
      </c>
      <c r="P22" s="20">
        <f t="shared" si="16"/>
        <v>1277.98</v>
      </c>
      <c r="Q22" s="59">
        <v>-1100</v>
      </c>
      <c r="R22" s="22">
        <f t="shared" si="9"/>
        <v>-0.86073334480977792</v>
      </c>
      <c r="S22" s="18">
        <v>0</v>
      </c>
      <c r="T22" s="18">
        <f t="shared" si="10"/>
        <v>177.98000000000002</v>
      </c>
      <c r="U22" s="41">
        <f>IF(SUM($U$4:U21)=1,0,IF(SUM($Q$4:Q22)&gt;39891.29,1,0))</f>
        <v>0</v>
      </c>
      <c r="V22" s="23">
        <f t="shared" ca="1" si="0"/>
        <v>-638.82000000000005</v>
      </c>
      <c r="W22" s="23">
        <f t="shared" ca="1" si="11"/>
        <v>-636.8549999999999</v>
      </c>
      <c r="X22" s="23">
        <f>SUM($Q$19:Q22)</f>
        <v>-133.66999999999996</v>
      </c>
      <c r="Y22" s="50">
        <f>IF(Q22=0,Y21,COUNTIF($Q$4:Q22,"&gt;0")/COUNTIF($Q$4:Q22,"&lt;&gt;0"))</f>
        <v>0.54545454545454541</v>
      </c>
      <c r="AA22" s="51">
        <f t="shared" si="12"/>
        <v>-0.86073334480977792</v>
      </c>
      <c r="AB22" s="51" t="str">
        <f t="shared" si="1"/>
        <v>-</v>
      </c>
      <c r="AC22" s="52">
        <v>0</v>
      </c>
      <c r="AD22" s="52">
        <v>0</v>
      </c>
      <c r="AE22" s="51" t="str">
        <f t="shared" si="2"/>
        <v>-</v>
      </c>
      <c r="AF22" s="53">
        <f t="shared" ca="1" si="3"/>
        <v>0</v>
      </c>
      <c r="AG22" s="54" t="str">
        <f t="shared" ca="1" si="4"/>
        <v>-</v>
      </c>
      <c r="AH22" s="52">
        <v>0</v>
      </c>
      <c r="AI22" s="28" t="s">
        <v>24</v>
      </c>
      <c r="AJ22" s="55"/>
      <c r="AL22" s="48"/>
      <c r="AQ22" s="48"/>
      <c r="AV22" s="32"/>
    </row>
    <row r="23" spans="2:48" ht="16.5" thickBot="1" x14ac:dyDescent="0.3">
      <c r="B23" s="33">
        <v>20</v>
      </c>
      <c r="C23" s="34">
        <f t="shared" si="13"/>
        <v>45901</v>
      </c>
      <c r="D23" s="35">
        <f t="shared" si="5"/>
        <v>2025</v>
      </c>
      <c r="E23" s="36">
        <f t="shared" si="14"/>
        <v>816.80000000000007</v>
      </c>
      <c r="F23" s="36">
        <v>11.99</v>
      </c>
      <c r="G23" s="37">
        <f t="shared" si="6"/>
        <v>1.4679236043095003E-2</v>
      </c>
      <c r="H23" s="36">
        <f t="shared" si="17"/>
        <v>50</v>
      </c>
      <c r="I23" s="36">
        <f t="shared" si="7"/>
        <v>878.79000000000008</v>
      </c>
      <c r="K23" s="36">
        <v>11.99</v>
      </c>
      <c r="L23" s="37">
        <v>2.5000000000000001E-2</v>
      </c>
      <c r="M23" s="36">
        <f t="shared" si="8"/>
        <v>50</v>
      </c>
      <c r="N23" s="36">
        <f t="shared" si="15"/>
        <v>876.82499999999993</v>
      </c>
      <c r="P23" s="38">
        <f t="shared" si="16"/>
        <v>177.98000000000002</v>
      </c>
      <c r="Q23" s="56">
        <v>0</v>
      </c>
      <c r="R23" s="40" t="str">
        <f t="shared" si="9"/>
        <v>-</v>
      </c>
      <c r="S23" s="36">
        <v>50</v>
      </c>
      <c r="T23" s="36">
        <f t="shared" si="10"/>
        <v>227.98000000000002</v>
      </c>
      <c r="U23" s="41">
        <f>IF(SUM($U$4:U22)=1,0,IF(SUM($Q$4:Q23)&gt;39891.29,1,0))</f>
        <v>0</v>
      </c>
      <c r="V23" s="36">
        <f t="shared" ca="1" si="0"/>
        <v>-650.81000000000006</v>
      </c>
      <c r="W23" s="36">
        <f t="shared" ca="1" si="11"/>
        <v>-648.84499999999991</v>
      </c>
      <c r="X23" s="36">
        <f t="shared" ca="1" si="11"/>
        <v>0</v>
      </c>
      <c r="Y23" s="37">
        <f>IF(Q23=0,Y22,COUNTIF($Q$4:Q23,"&gt;0")/COUNTIF($Q$4:Q23,"&lt;&gt;0"))</f>
        <v>0.54545454545454541</v>
      </c>
      <c r="AA23" s="42" t="str">
        <f t="shared" si="12"/>
        <v>-</v>
      </c>
      <c r="AB23" s="42" t="str">
        <f t="shared" si="1"/>
        <v>-</v>
      </c>
      <c r="AC23" s="43">
        <v>0</v>
      </c>
      <c r="AD23" s="43">
        <v>0</v>
      </c>
      <c r="AE23" s="42" t="str">
        <f t="shared" si="2"/>
        <v>-</v>
      </c>
      <c r="AF23" s="44">
        <f t="shared" ca="1" si="3"/>
        <v>0</v>
      </c>
      <c r="AG23" s="45" t="str">
        <f t="shared" ca="1" si="4"/>
        <v>-</v>
      </c>
      <c r="AH23" s="43">
        <v>0</v>
      </c>
      <c r="AI23" s="46" t="s">
        <v>24</v>
      </c>
      <c r="AJ23" s="47"/>
      <c r="AL23" s="48"/>
      <c r="AQ23" s="48"/>
      <c r="AV23" s="32"/>
    </row>
    <row r="24" spans="2:48" ht="16.5" thickBot="1" x14ac:dyDescent="0.3">
      <c r="B24" s="15">
        <v>21</v>
      </c>
      <c r="C24" s="16">
        <f t="shared" si="13"/>
        <v>45908</v>
      </c>
      <c r="D24" s="17">
        <f t="shared" si="5"/>
        <v>2025</v>
      </c>
      <c r="E24" s="18">
        <f t="shared" si="14"/>
        <v>878.79000000000008</v>
      </c>
      <c r="F24" s="18">
        <v>12.35</v>
      </c>
      <c r="G24" s="19">
        <f t="shared" si="6"/>
        <v>1.4053414353827421E-2</v>
      </c>
      <c r="H24" s="18">
        <f t="shared" si="17"/>
        <v>0</v>
      </c>
      <c r="I24" s="18">
        <f t="shared" si="7"/>
        <v>891.1400000000001</v>
      </c>
      <c r="K24" s="18">
        <v>12.35</v>
      </c>
      <c r="L24" s="19">
        <v>2.5000000000000001E-2</v>
      </c>
      <c r="M24" s="18">
        <f t="shared" si="8"/>
        <v>0</v>
      </c>
      <c r="N24" s="18">
        <f t="shared" si="15"/>
        <v>889.17499999999995</v>
      </c>
      <c r="P24" s="20">
        <f t="shared" si="16"/>
        <v>227.98000000000002</v>
      </c>
      <c r="Q24" s="59">
        <v>0</v>
      </c>
      <c r="R24" s="22" t="str">
        <f t="shared" si="9"/>
        <v>-</v>
      </c>
      <c r="S24" s="18">
        <v>0</v>
      </c>
      <c r="T24" s="18">
        <f t="shared" si="10"/>
        <v>227.98000000000002</v>
      </c>
      <c r="U24" s="41">
        <f>IF(SUM($U$4:U23)=1,0,IF(SUM($Q$4:Q24)&gt;39891.29,1,0))</f>
        <v>0</v>
      </c>
      <c r="V24" s="23">
        <f t="shared" ca="1" si="0"/>
        <v>-663.16000000000008</v>
      </c>
      <c r="W24" s="23">
        <f t="shared" ca="1" si="11"/>
        <v>-661.19499999999994</v>
      </c>
      <c r="X24" s="23">
        <f t="shared" ca="1" si="11"/>
        <v>0</v>
      </c>
      <c r="Y24" s="50">
        <f>IF(Q24=0,Y23,COUNTIF($Q$4:Q24,"&gt;0")/COUNTIF($Q$4:Q24,"&lt;&gt;0"))</f>
        <v>0.54545454545454541</v>
      </c>
      <c r="AA24" s="51" t="str">
        <f t="shared" si="12"/>
        <v>-</v>
      </c>
      <c r="AB24" s="51" t="str">
        <f t="shared" si="1"/>
        <v>-</v>
      </c>
      <c r="AC24" s="52">
        <v>0</v>
      </c>
      <c r="AD24" s="52">
        <v>0</v>
      </c>
      <c r="AE24" s="51" t="str">
        <f t="shared" si="2"/>
        <v>-</v>
      </c>
      <c r="AF24" s="53">
        <f t="shared" ca="1" si="3"/>
        <v>0</v>
      </c>
      <c r="AG24" s="54" t="str">
        <f t="shared" ca="1" si="4"/>
        <v>-</v>
      </c>
      <c r="AH24" s="52">
        <v>0</v>
      </c>
      <c r="AI24" s="28" t="s">
        <v>24</v>
      </c>
      <c r="AJ24" s="55"/>
      <c r="AL24" s="48"/>
      <c r="AQ24" s="48"/>
      <c r="AV24" s="32"/>
    </row>
    <row r="25" spans="2:48" ht="16.5" thickBot="1" x14ac:dyDescent="0.3">
      <c r="B25" s="33">
        <v>22</v>
      </c>
      <c r="C25" s="34">
        <f t="shared" si="13"/>
        <v>45915</v>
      </c>
      <c r="D25" s="35">
        <f t="shared" si="5"/>
        <v>2025</v>
      </c>
      <c r="E25" s="36">
        <f t="shared" si="14"/>
        <v>891.1400000000001</v>
      </c>
      <c r="F25" s="36">
        <v>12.72</v>
      </c>
      <c r="G25" s="37">
        <f t="shared" si="6"/>
        <v>1.4273851471149313E-2</v>
      </c>
      <c r="H25" s="36">
        <f t="shared" si="17"/>
        <v>50</v>
      </c>
      <c r="I25" s="36">
        <f t="shared" si="7"/>
        <v>953.86000000000013</v>
      </c>
      <c r="K25" s="36">
        <v>12.72</v>
      </c>
      <c r="L25" s="37">
        <v>2.5000000000000001E-2</v>
      </c>
      <c r="M25" s="36">
        <f t="shared" si="8"/>
        <v>50</v>
      </c>
      <c r="N25" s="36">
        <f t="shared" si="15"/>
        <v>951.89499999999998</v>
      </c>
      <c r="P25" s="38">
        <f t="shared" si="16"/>
        <v>227.98000000000002</v>
      </c>
      <c r="Q25" s="56">
        <v>0</v>
      </c>
      <c r="R25" s="40" t="str">
        <f t="shared" si="9"/>
        <v>-</v>
      </c>
      <c r="S25" s="36">
        <v>50</v>
      </c>
      <c r="T25" s="36">
        <f t="shared" si="10"/>
        <v>277.98</v>
      </c>
      <c r="U25" s="41">
        <f>IF(SUM($U$4:U24)=1,0,IF(SUM($Q$4:Q25)&gt;39891.29,1,0))</f>
        <v>0</v>
      </c>
      <c r="V25" s="36">
        <f t="shared" ca="1" si="0"/>
        <v>-675.88000000000011</v>
      </c>
      <c r="W25" s="36">
        <f t="shared" ca="1" si="11"/>
        <v>-673.91499999999996</v>
      </c>
      <c r="X25" s="36">
        <f t="shared" ca="1" si="11"/>
        <v>0</v>
      </c>
      <c r="Y25" s="37">
        <f>IF(Q25=0,Y24,COUNTIF($Q$4:Q25,"&gt;0")/COUNTIF($Q$4:Q25,"&lt;&gt;0"))</f>
        <v>0.54545454545454541</v>
      </c>
      <c r="AA25" s="42" t="str">
        <f t="shared" si="12"/>
        <v>-</v>
      </c>
      <c r="AB25" s="42" t="str">
        <f t="shared" si="1"/>
        <v>-</v>
      </c>
      <c r="AC25" s="43">
        <v>0</v>
      </c>
      <c r="AD25" s="43">
        <v>0</v>
      </c>
      <c r="AE25" s="42" t="str">
        <f t="shared" si="2"/>
        <v>-</v>
      </c>
      <c r="AF25" s="44">
        <f t="shared" ca="1" si="3"/>
        <v>0</v>
      </c>
      <c r="AG25" s="45" t="str">
        <f t="shared" ca="1" si="4"/>
        <v>-</v>
      </c>
      <c r="AH25" s="43">
        <v>0</v>
      </c>
      <c r="AI25" s="46" t="s">
        <v>24</v>
      </c>
      <c r="AJ25" s="47"/>
      <c r="AL25" s="48"/>
      <c r="AQ25" s="48"/>
      <c r="AV25" s="32"/>
    </row>
    <row r="26" spans="2:48" ht="16.5" thickBot="1" x14ac:dyDescent="0.3">
      <c r="B26" s="15">
        <v>23</v>
      </c>
      <c r="C26" s="16">
        <f t="shared" si="13"/>
        <v>45922</v>
      </c>
      <c r="D26" s="17">
        <f t="shared" si="5"/>
        <v>2025</v>
      </c>
      <c r="E26" s="18">
        <f t="shared" si="14"/>
        <v>953.86000000000013</v>
      </c>
      <c r="F26" s="18">
        <v>13.11</v>
      </c>
      <c r="G26" s="19">
        <f t="shared" si="6"/>
        <v>1.3744155326777512E-2</v>
      </c>
      <c r="H26" s="18">
        <f t="shared" si="17"/>
        <v>0</v>
      </c>
      <c r="I26" s="18">
        <f t="shared" si="7"/>
        <v>966.97000000000014</v>
      </c>
      <c r="K26" s="18">
        <v>13.11</v>
      </c>
      <c r="L26" s="19">
        <v>2.5000000000000001E-2</v>
      </c>
      <c r="M26" s="18">
        <f t="shared" si="8"/>
        <v>0</v>
      </c>
      <c r="N26" s="18">
        <f t="shared" si="15"/>
        <v>965.005</v>
      </c>
      <c r="P26" s="20">
        <f t="shared" si="16"/>
        <v>277.98</v>
      </c>
      <c r="Q26" s="59">
        <v>0</v>
      </c>
      <c r="R26" s="22" t="str">
        <f t="shared" si="9"/>
        <v>-</v>
      </c>
      <c r="S26" s="18">
        <v>0</v>
      </c>
      <c r="T26" s="18">
        <f t="shared" si="10"/>
        <v>277.98</v>
      </c>
      <c r="U26" s="41">
        <f>IF(SUM($U$4:U25)=1,0,IF(SUM($Q$4:Q26)&gt;39891.29,1,0))</f>
        <v>0</v>
      </c>
      <c r="V26" s="23">
        <f t="shared" ca="1" si="0"/>
        <v>-688.99000000000012</v>
      </c>
      <c r="W26" s="23">
        <f t="shared" ca="1" si="11"/>
        <v>-687.02499999999998</v>
      </c>
      <c r="X26" s="23">
        <f t="shared" ca="1" si="11"/>
        <v>0</v>
      </c>
      <c r="Y26" s="50">
        <f>IF(Q26=0,Y25,COUNTIF($Q$4:Q26,"&gt;0")/COUNTIF($Q$4:Q26,"&lt;&gt;0"))</f>
        <v>0.54545454545454541</v>
      </c>
      <c r="AA26" s="51" t="str">
        <f t="shared" si="12"/>
        <v>-</v>
      </c>
      <c r="AB26" s="51" t="str">
        <f t="shared" si="1"/>
        <v>-</v>
      </c>
      <c r="AC26" s="52">
        <v>0</v>
      </c>
      <c r="AD26" s="52">
        <v>0</v>
      </c>
      <c r="AE26" s="51" t="str">
        <f t="shared" si="2"/>
        <v>-</v>
      </c>
      <c r="AF26" s="53">
        <f t="shared" ca="1" si="3"/>
        <v>0</v>
      </c>
      <c r="AG26" s="54" t="str">
        <f t="shared" ca="1" si="4"/>
        <v>-</v>
      </c>
      <c r="AH26" s="52">
        <v>0</v>
      </c>
      <c r="AI26" s="28" t="s">
        <v>24</v>
      </c>
      <c r="AJ26" s="55"/>
      <c r="AL26" s="48"/>
      <c r="AQ26" s="48"/>
      <c r="AV26" s="32"/>
    </row>
    <row r="27" spans="2:48" ht="16.5" thickBot="1" x14ac:dyDescent="0.3">
      <c r="B27" s="33">
        <v>24</v>
      </c>
      <c r="C27" s="34">
        <f t="shared" si="13"/>
        <v>45929</v>
      </c>
      <c r="D27" s="35">
        <f t="shared" si="5"/>
        <v>2025</v>
      </c>
      <c r="E27" s="36">
        <f t="shared" si="14"/>
        <v>966.97000000000014</v>
      </c>
      <c r="F27" s="36">
        <v>13.5</v>
      </c>
      <c r="G27" s="37">
        <f t="shared" si="6"/>
        <v>1.3961136333081686E-2</v>
      </c>
      <c r="H27" s="36">
        <f t="shared" si="17"/>
        <v>50</v>
      </c>
      <c r="I27" s="36">
        <f t="shared" si="7"/>
        <v>1030.4700000000003</v>
      </c>
      <c r="K27" s="36">
        <v>13.5</v>
      </c>
      <c r="L27" s="37">
        <v>2.5000000000000001E-2</v>
      </c>
      <c r="M27" s="36">
        <f t="shared" si="8"/>
        <v>50</v>
      </c>
      <c r="N27" s="36">
        <f t="shared" si="15"/>
        <v>1028.5050000000001</v>
      </c>
      <c r="P27" s="38">
        <f t="shared" si="16"/>
        <v>277.98</v>
      </c>
      <c r="Q27" s="56">
        <v>-200</v>
      </c>
      <c r="R27" s="40">
        <f t="shared" si="9"/>
        <v>-0.71947622131088562</v>
      </c>
      <c r="S27" s="36">
        <v>50</v>
      </c>
      <c r="T27" s="36">
        <f t="shared" si="10"/>
        <v>127.98000000000002</v>
      </c>
      <c r="U27" s="41">
        <f>IF(SUM($U$4:U26)=1,0,IF(SUM($Q$4:Q27)&gt;39891.29,1,0))</f>
        <v>0</v>
      </c>
      <c r="V27" s="36">
        <f t="shared" ca="1" si="0"/>
        <v>-902.49000000000024</v>
      </c>
      <c r="W27" s="36">
        <f t="shared" ca="1" si="11"/>
        <v>-900.52500000000009</v>
      </c>
      <c r="X27" s="36">
        <f t="shared" ca="1" si="11"/>
        <v>0</v>
      </c>
      <c r="Y27" s="37">
        <f>IF(Q27=0,Y26,COUNTIF($Q$4:Q27,"&gt;0")/COUNTIF($Q$4:Q27,"&lt;&gt;0"))</f>
        <v>0.5</v>
      </c>
      <c r="AA27" s="42">
        <f t="shared" si="12"/>
        <v>-0.71947622131088562</v>
      </c>
      <c r="AB27" s="42" t="str">
        <f t="shared" si="1"/>
        <v>-</v>
      </c>
      <c r="AC27" s="43">
        <v>0</v>
      </c>
      <c r="AD27" s="43">
        <v>0</v>
      </c>
      <c r="AE27" s="42" t="str">
        <f t="shared" si="2"/>
        <v>-</v>
      </c>
      <c r="AF27" s="44">
        <f t="shared" ca="1" si="3"/>
        <v>0</v>
      </c>
      <c r="AG27" s="45" t="str">
        <f t="shared" ca="1" si="4"/>
        <v>-</v>
      </c>
      <c r="AH27" s="43">
        <v>0</v>
      </c>
      <c r="AI27" s="46" t="s">
        <v>24</v>
      </c>
      <c r="AJ27" s="47"/>
      <c r="AL27" s="48"/>
      <c r="AQ27" s="48"/>
      <c r="AV27" s="32"/>
    </row>
    <row r="28" spans="2:48" ht="16.5" thickBot="1" x14ac:dyDescent="0.3">
      <c r="B28" s="15">
        <v>25</v>
      </c>
      <c r="C28" s="16">
        <f t="shared" si="13"/>
        <v>45936</v>
      </c>
      <c r="D28" s="17">
        <f t="shared" si="5"/>
        <v>2025</v>
      </c>
      <c r="E28" s="18">
        <f t="shared" si="14"/>
        <v>1030.4700000000003</v>
      </c>
      <c r="F28" s="18">
        <v>13.9</v>
      </c>
      <c r="G28" s="19">
        <f t="shared" si="6"/>
        <v>1.3488990460663578E-2</v>
      </c>
      <c r="H28" s="18">
        <f t="shared" si="17"/>
        <v>0</v>
      </c>
      <c r="I28" s="18">
        <f t="shared" si="7"/>
        <v>1044.3700000000003</v>
      </c>
      <c r="K28" s="18">
        <v>13.9</v>
      </c>
      <c r="L28" s="19">
        <v>2.5000000000000001E-2</v>
      </c>
      <c r="M28" s="18">
        <f t="shared" si="8"/>
        <v>0</v>
      </c>
      <c r="N28" s="18">
        <f t="shared" si="15"/>
        <v>1042.4050000000002</v>
      </c>
      <c r="P28" s="20">
        <f t="shared" si="16"/>
        <v>127.98000000000002</v>
      </c>
      <c r="Q28" s="59">
        <v>0</v>
      </c>
      <c r="R28" s="22" t="str">
        <f t="shared" si="9"/>
        <v>-</v>
      </c>
      <c r="S28" s="18">
        <v>0</v>
      </c>
      <c r="T28" s="18">
        <f t="shared" si="10"/>
        <v>127.98000000000002</v>
      </c>
      <c r="U28" s="41">
        <f>IF(SUM($U$4:U27)=1,0,IF(SUM($Q$4:Q28)&gt;39891.29,1,0))</f>
        <v>0</v>
      </c>
      <c r="V28" s="23">
        <f t="shared" ca="1" si="0"/>
        <v>-916.39000000000033</v>
      </c>
      <c r="W28" s="23">
        <f t="shared" ca="1" si="11"/>
        <v>-914.42500000000018</v>
      </c>
      <c r="X28" s="23">
        <f t="shared" ca="1" si="11"/>
        <v>0</v>
      </c>
      <c r="Y28" s="50" t="s">
        <v>27</v>
      </c>
      <c r="AA28" s="51" t="str">
        <f t="shared" si="12"/>
        <v>-</v>
      </c>
      <c r="AB28" s="51" t="str">
        <f t="shared" si="1"/>
        <v>-</v>
      </c>
      <c r="AC28" s="52">
        <v>0</v>
      </c>
      <c r="AD28" s="52">
        <v>0</v>
      </c>
      <c r="AE28" s="51" t="str">
        <f t="shared" si="2"/>
        <v>-</v>
      </c>
      <c r="AF28" s="53">
        <f t="shared" ca="1" si="3"/>
        <v>0</v>
      </c>
      <c r="AG28" s="54" t="str">
        <f t="shared" ca="1" si="4"/>
        <v>-</v>
      </c>
      <c r="AH28" s="52">
        <v>0</v>
      </c>
      <c r="AI28" s="28" t="s">
        <v>24</v>
      </c>
      <c r="AJ28" s="55"/>
      <c r="AL28" s="48"/>
      <c r="AQ28" s="48"/>
      <c r="AV28" s="32"/>
    </row>
    <row r="29" spans="2:48" ht="16.5" thickBot="1" x14ac:dyDescent="0.3">
      <c r="B29" s="33">
        <v>26</v>
      </c>
      <c r="C29" s="34">
        <f t="shared" si="13"/>
        <v>45943</v>
      </c>
      <c r="D29" s="35">
        <f t="shared" si="5"/>
        <v>2025</v>
      </c>
      <c r="E29" s="36">
        <f t="shared" si="14"/>
        <v>1044.3700000000003</v>
      </c>
      <c r="F29" s="36">
        <v>14.32</v>
      </c>
      <c r="G29" s="37">
        <f t="shared" si="6"/>
        <v>1.3711615615155544E-2</v>
      </c>
      <c r="H29" s="36">
        <f t="shared" si="17"/>
        <v>50</v>
      </c>
      <c r="I29" s="36">
        <f t="shared" si="7"/>
        <v>1108.6900000000003</v>
      </c>
      <c r="K29" s="36">
        <v>14.32</v>
      </c>
      <c r="L29" s="37">
        <v>2.5000000000000001E-2</v>
      </c>
      <c r="M29" s="36">
        <f t="shared" si="8"/>
        <v>50</v>
      </c>
      <c r="N29" s="36">
        <f t="shared" si="15"/>
        <v>1106.7250000000001</v>
      </c>
      <c r="P29" s="38">
        <f t="shared" si="16"/>
        <v>127.98000000000002</v>
      </c>
      <c r="Q29" s="56">
        <v>0</v>
      </c>
      <c r="R29" s="40" t="str">
        <f t="shared" si="9"/>
        <v>-</v>
      </c>
      <c r="S29" s="36">
        <v>50</v>
      </c>
      <c r="T29" s="36">
        <f t="shared" si="10"/>
        <v>177.98000000000002</v>
      </c>
      <c r="U29" s="41">
        <f>IF(SUM($U$4:U28)=1,0,IF(SUM($Q$4:Q29)&gt;39891.29,1,0))</f>
        <v>0</v>
      </c>
      <c r="V29" s="36">
        <f t="shared" ca="1" si="0"/>
        <v>-930.71000000000026</v>
      </c>
      <c r="W29" s="36">
        <f t="shared" ca="1" si="11"/>
        <v>-928.74500000000012</v>
      </c>
      <c r="X29" s="36">
        <f t="shared" ca="1" si="11"/>
        <v>0</v>
      </c>
      <c r="Y29" s="37" t="s">
        <v>27</v>
      </c>
      <c r="AA29" s="42" t="str">
        <f t="shared" si="12"/>
        <v>-</v>
      </c>
      <c r="AB29" s="42" t="str">
        <f t="shared" si="1"/>
        <v>-</v>
      </c>
      <c r="AC29" s="43">
        <v>202.1</v>
      </c>
      <c r="AD29" s="43">
        <v>0</v>
      </c>
      <c r="AE29" s="42">
        <f t="shared" si="2"/>
        <v>1.579152992655102</v>
      </c>
      <c r="AF29" s="44">
        <f t="shared" ca="1" si="3"/>
        <v>0</v>
      </c>
      <c r="AG29" s="45" t="str">
        <f t="shared" ca="1" si="4"/>
        <v>-</v>
      </c>
      <c r="AH29" s="43">
        <v>3.1</v>
      </c>
      <c r="AI29" s="46" t="s">
        <v>24</v>
      </c>
      <c r="AJ29" s="47"/>
      <c r="AL29" s="48"/>
      <c r="AQ29" s="48"/>
      <c r="AV29" s="32"/>
    </row>
    <row r="30" spans="2:48" ht="16.5" thickBot="1" x14ac:dyDescent="0.3">
      <c r="B30" s="15">
        <v>27</v>
      </c>
      <c r="C30" s="16">
        <f t="shared" si="13"/>
        <v>45950</v>
      </c>
      <c r="D30" s="17">
        <f t="shared" si="5"/>
        <v>2025</v>
      </c>
      <c r="E30" s="18">
        <f t="shared" si="14"/>
        <v>1108.6900000000003</v>
      </c>
      <c r="F30" s="18">
        <v>14.75</v>
      </c>
      <c r="G30" s="19">
        <f t="shared" si="6"/>
        <v>1.3303989392887098E-2</v>
      </c>
      <c r="H30" s="18">
        <f t="shared" si="17"/>
        <v>0</v>
      </c>
      <c r="I30" s="18">
        <f t="shared" si="7"/>
        <v>1123.4400000000003</v>
      </c>
      <c r="K30" s="18">
        <v>14.75</v>
      </c>
      <c r="L30" s="19">
        <v>2.5000000000000001E-2</v>
      </c>
      <c r="M30" s="18">
        <f t="shared" si="8"/>
        <v>0</v>
      </c>
      <c r="N30" s="18">
        <f t="shared" si="15"/>
        <v>1121.4750000000001</v>
      </c>
      <c r="P30" s="20">
        <f t="shared" si="16"/>
        <v>177.98000000000002</v>
      </c>
      <c r="Q30" s="59">
        <v>0</v>
      </c>
      <c r="R30" s="22" t="str">
        <f t="shared" si="9"/>
        <v>-</v>
      </c>
      <c r="S30" s="18">
        <v>0</v>
      </c>
      <c r="T30" s="18">
        <f t="shared" si="10"/>
        <v>177.98000000000002</v>
      </c>
      <c r="U30" s="41">
        <f>IF(SUM($U$4:U29)=1,0,IF(SUM($Q$4:Q30)&gt;39891.29,1,0))</f>
        <v>0</v>
      </c>
      <c r="V30" s="23">
        <f t="shared" ca="1" si="0"/>
        <v>-945.46000000000026</v>
      </c>
      <c r="W30" s="23">
        <f t="shared" ca="1" si="11"/>
        <v>-943.49500000000012</v>
      </c>
      <c r="X30" s="23">
        <f t="shared" ca="1" si="11"/>
        <v>0</v>
      </c>
      <c r="Y30" s="50" t="s">
        <v>27</v>
      </c>
      <c r="AA30" s="51" t="str">
        <f t="shared" si="12"/>
        <v>-</v>
      </c>
      <c r="AB30" s="51" t="str">
        <f t="shared" si="1"/>
        <v>-</v>
      </c>
      <c r="AC30" s="52">
        <v>0</v>
      </c>
      <c r="AD30" s="52">
        <v>0</v>
      </c>
      <c r="AE30" s="51" t="str">
        <f t="shared" si="2"/>
        <v>-</v>
      </c>
      <c r="AF30" s="53">
        <f t="shared" ca="1" si="3"/>
        <v>0</v>
      </c>
      <c r="AG30" s="54" t="str">
        <f t="shared" ca="1" si="4"/>
        <v>-</v>
      </c>
      <c r="AH30" s="52">
        <v>0</v>
      </c>
      <c r="AI30" s="28" t="s">
        <v>24</v>
      </c>
      <c r="AJ30" s="55"/>
      <c r="AL30" s="48"/>
      <c r="AQ30" s="48"/>
      <c r="AV30" s="32"/>
    </row>
    <row r="31" spans="2:48" ht="16.5" thickBot="1" x14ac:dyDescent="0.3">
      <c r="B31" s="33">
        <v>28</v>
      </c>
      <c r="C31" s="34">
        <f t="shared" si="13"/>
        <v>45957</v>
      </c>
      <c r="D31" s="35">
        <f t="shared" si="5"/>
        <v>2025</v>
      </c>
      <c r="E31" s="36">
        <f t="shared" si="14"/>
        <v>1123.4400000000003</v>
      </c>
      <c r="F31" s="36">
        <v>15.19</v>
      </c>
      <c r="G31" s="37">
        <f t="shared" si="6"/>
        <v>1.3520971302428252E-2</v>
      </c>
      <c r="H31" s="36">
        <f t="shared" si="17"/>
        <v>50</v>
      </c>
      <c r="I31" s="36">
        <f t="shared" si="7"/>
        <v>1188.6300000000003</v>
      </c>
      <c r="K31" s="36">
        <v>15.19</v>
      </c>
      <c r="L31" s="37">
        <v>2.5000000000000001E-2</v>
      </c>
      <c r="M31" s="36">
        <f t="shared" si="8"/>
        <v>50</v>
      </c>
      <c r="N31" s="36">
        <f t="shared" si="15"/>
        <v>1186.6650000000002</v>
      </c>
      <c r="P31" s="38">
        <f t="shared" si="16"/>
        <v>177.98000000000002</v>
      </c>
      <c r="Q31" s="56">
        <v>0</v>
      </c>
      <c r="R31" s="40" t="str">
        <f t="shared" si="9"/>
        <v>-</v>
      </c>
      <c r="S31" s="36">
        <v>50</v>
      </c>
      <c r="T31" s="36">
        <f t="shared" si="10"/>
        <v>227.98000000000002</v>
      </c>
      <c r="U31" s="41">
        <f>IF(SUM($U$4:U30)=1,0,IF(SUM($Q$4:Q31)&gt;39891.29,1,0))</f>
        <v>0</v>
      </c>
      <c r="V31" s="36">
        <f t="shared" ca="1" si="0"/>
        <v>-960.65000000000032</v>
      </c>
      <c r="W31" s="36">
        <f t="shared" ca="1" si="11"/>
        <v>-958.68500000000017</v>
      </c>
      <c r="X31" s="36">
        <f t="shared" ca="1" si="11"/>
        <v>0</v>
      </c>
      <c r="Y31" s="37" t="s">
        <v>27</v>
      </c>
      <c r="AA31" s="42" t="str">
        <f t="shared" si="12"/>
        <v>-</v>
      </c>
      <c r="AB31" s="42" t="str">
        <f t="shared" si="1"/>
        <v>-</v>
      </c>
      <c r="AC31" s="43">
        <v>0</v>
      </c>
      <c r="AD31" s="43">
        <v>0</v>
      </c>
      <c r="AE31" s="42" t="str">
        <f t="shared" si="2"/>
        <v>-</v>
      </c>
      <c r="AF31" s="44">
        <f t="shared" ca="1" si="3"/>
        <v>0</v>
      </c>
      <c r="AG31" s="45" t="str">
        <f t="shared" ca="1" si="4"/>
        <v>-</v>
      </c>
      <c r="AH31" s="43">
        <v>0</v>
      </c>
      <c r="AI31" s="46" t="s">
        <v>24</v>
      </c>
      <c r="AJ31" s="47"/>
      <c r="AL31" s="48"/>
      <c r="AQ31" s="48"/>
      <c r="AV31" s="32"/>
    </row>
    <row r="32" spans="2:48" ht="16.5" thickBot="1" x14ac:dyDescent="0.3">
      <c r="B32" s="15">
        <v>29</v>
      </c>
      <c r="C32" s="16">
        <f t="shared" si="13"/>
        <v>45964</v>
      </c>
      <c r="D32" s="17">
        <f t="shared" si="5"/>
        <v>2025</v>
      </c>
      <c r="E32" s="18">
        <f t="shared" si="14"/>
        <v>1188.6300000000003</v>
      </c>
      <c r="F32" s="18">
        <v>15.65</v>
      </c>
      <c r="G32" s="19">
        <f t="shared" si="6"/>
        <v>1.3166418481781543E-2</v>
      </c>
      <c r="H32" s="18">
        <f t="shared" si="17"/>
        <v>0</v>
      </c>
      <c r="I32" s="18">
        <f t="shared" si="7"/>
        <v>1204.2800000000004</v>
      </c>
      <c r="K32" s="18">
        <v>15.65</v>
      </c>
      <c r="L32" s="19">
        <v>2.5000000000000001E-2</v>
      </c>
      <c r="M32" s="18">
        <f t="shared" si="8"/>
        <v>0</v>
      </c>
      <c r="N32" s="18">
        <f t="shared" si="15"/>
        <v>1202.3150000000003</v>
      </c>
      <c r="P32" s="20">
        <v>162.88</v>
      </c>
      <c r="Q32" s="59">
        <v>54.83</v>
      </c>
      <c r="R32" s="22">
        <f t="shared" si="9"/>
        <v>0.33662819253438114</v>
      </c>
      <c r="S32" s="18">
        <v>0</v>
      </c>
      <c r="T32" s="18">
        <f t="shared" si="10"/>
        <v>217.70999999999998</v>
      </c>
      <c r="U32" s="41">
        <f>IF(SUM($U$4:U31)=1,0,IF(SUM($Q$4:Q32)&gt;39891.29,1,0))</f>
        <v>0</v>
      </c>
      <c r="V32" s="23">
        <f t="shared" ca="1" si="0"/>
        <v>-986.57000000000039</v>
      </c>
      <c r="W32" s="23">
        <f t="shared" ca="1" si="11"/>
        <v>-984.60500000000025</v>
      </c>
      <c r="X32" s="23">
        <f t="shared" ca="1" si="11"/>
        <v>0</v>
      </c>
      <c r="Y32" s="50">
        <f>IF(Q32=0,Y31,COUNTIF($Q$31:Q32,"&gt;0")/COUNTIF($Q$31:Q32,"&lt;&gt;0"))</f>
        <v>1</v>
      </c>
      <c r="AA32" s="51">
        <f t="shared" si="12"/>
        <v>0.33662819253438114</v>
      </c>
      <c r="AB32" s="51">
        <f t="shared" si="1"/>
        <v>0.46632080285762884</v>
      </c>
      <c r="AC32" s="52">
        <v>117.58</v>
      </c>
      <c r="AD32" s="52">
        <v>0</v>
      </c>
      <c r="AE32" s="51">
        <f t="shared" si="2"/>
        <v>0.72188113948919452</v>
      </c>
      <c r="AF32" s="53">
        <f t="shared" ca="1" si="3"/>
        <v>0</v>
      </c>
      <c r="AG32" s="54" t="str">
        <f t="shared" ca="1" si="4"/>
        <v>-</v>
      </c>
      <c r="AH32" s="52">
        <v>5.17</v>
      </c>
      <c r="AI32" s="28" t="s">
        <v>28</v>
      </c>
      <c r="AJ32" s="55"/>
      <c r="AL32" s="48"/>
      <c r="AO32" s="67"/>
      <c r="AQ32" s="48"/>
      <c r="AV32" s="32"/>
    </row>
    <row r="33" spans="2:48" ht="16.5" thickBot="1" x14ac:dyDescent="0.3">
      <c r="B33" s="33">
        <v>30</v>
      </c>
      <c r="C33" s="34">
        <f t="shared" si="13"/>
        <v>45971</v>
      </c>
      <c r="D33" s="35">
        <f t="shared" si="5"/>
        <v>2025</v>
      </c>
      <c r="E33" s="36">
        <f t="shared" si="14"/>
        <v>1204.2800000000004</v>
      </c>
      <c r="F33" s="36">
        <v>16.12</v>
      </c>
      <c r="G33" s="37">
        <f t="shared" si="6"/>
        <v>1.3385591390706476E-2</v>
      </c>
      <c r="H33" s="36">
        <f t="shared" si="17"/>
        <v>50</v>
      </c>
      <c r="I33" s="36">
        <f t="shared" si="7"/>
        <v>1270.4000000000003</v>
      </c>
      <c r="K33" s="36">
        <v>16.12</v>
      </c>
      <c r="L33" s="37">
        <v>2.5000000000000001E-2</v>
      </c>
      <c r="M33" s="36">
        <f t="shared" si="8"/>
        <v>50</v>
      </c>
      <c r="N33" s="36">
        <f t="shared" si="15"/>
        <v>1268.4350000000002</v>
      </c>
      <c r="P33" s="38">
        <f t="shared" si="16"/>
        <v>217.70999999999998</v>
      </c>
      <c r="Q33" s="56">
        <v>29.83</v>
      </c>
      <c r="R33" s="40">
        <f t="shared" si="9"/>
        <v>0.13701713288319325</v>
      </c>
      <c r="S33" s="36">
        <v>50</v>
      </c>
      <c r="T33" s="36">
        <f t="shared" si="10"/>
        <v>297.53999999999996</v>
      </c>
      <c r="U33" s="41">
        <f>IF(SUM($U$4:U32)=1,0,IF(SUM($Q$4:Q33)&gt;39891.29,1,0))</f>
        <v>0</v>
      </c>
      <c r="V33" s="36">
        <f t="shared" ca="1" si="0"/>
        <v>-972.86000000000035</v>
      </c>
      <c r="W33" s="36">
        <f t="shared" ca="1" si="11"/>
        <v>-970.89500000000021</v>
      </c>
      <c r="X33" s="36">
        <f>IF(Q33=0,0,SUM($Q$32:Q33))</f>
        <v>84.66</v>
      </c>
      <c r="Y33" s="37">
        <f>IF(Q33=0,Y32,COUNTIF($Q$31:Q33,"&gt;0")/COUNTIF($Q$31:Q33,"&lt;&gt;0"))</f>
        <v>1</v>
      </c>
      <c r="AA33" s="42">
        <f t="shared" si="12"/>
        <v>0.13701713288319325</v>
      </c>
      <c r="AB33" s="42">
        <f t="shared" si="1"/>
        <v>0.27728202268079566</v>
      </c>
      <c r="AC33" s="43">
        <v>107.58</v>
      </c>
      <c r="AD33" s="43">
        <v>0</v>
      </c>
      <c r="AE33" s="42">
        <f t="shared" si="2"/>
        <v>0.49414358550365167</v>
      </c>
      <c r="AF33" s="44">
        <f t="shared" ca="1" si="3"/>
        <v>0</v>
      </c>
      <c r="AG33" s="45" t="str">
        <f t="shared" ca="1" si="4"/>
        <v>-</v>
      </c>
      <c r="AH33" s="43">
        <v>5.17</v>
      </c>
      <c r="AI33" s="46" t="s">
        <v>29</v>
      </c>
      <c r="AJ33" s="47"/>
      <c r="AL33" s="48"/>
      <c r="AO33" s="67"/>
      <c r="AQ33" s="48"/>
      <c r="AV33" s="32"/>
    </row>
    <row r="34" spans="2:48" ht="16.5" thickBot="1" x14ac:dyDescent="0.3">
      <c r="B34" s="15">
        <v>31</v>
      </c>
      <c r="C34" s="16">
        <f t="shared" si="13"/>
        <v>45978</v>
      </c>
      <c r="D34" s="17">
        <f t="shared" si="5"/>
        <v>2025</v>
      </c>
      <c r="E34" s="18">
        <f t="shared" si="14"/>
        <v>1270.4000000000003</v>
      </c>
      <c r="F34" s="18">
        <v>16.600000000000001</v>
      </c>
      <c r="G34" s="19">
        <f t="shared" si="6"/>
        <v>1.306675062972292E-2</v>
      </c>
      <c r="H34" s="36">
        <f t="shared" si="17"/>
        <v>100</v>
      </c>
      <c r="I34" s="18">
        <f t="shared" si="7"/>
        <v>1387.0000000000002</v>
      </c>
      <c r="K34" s="18">
        <v>16.600000000000001</v>
      </c>
      <c r="L34" s="19">
        <v>2.5000000000000001E-2</v>
      </c>
      <c r="M34" s="36">
        <f t="shared" si="8"/>
        <v>100</v>
      </c>
      <c r="N34" s="18">
        <f t="shared" si="15"/>
        <v>1385.0350000000001</v>
      </c>
      <c r="P34" s="20">
        <f t="shared" si="16"/>
        <v>297.53999999999996</v>
      </c>
      <c r="Q34" s="59">
        <v>38.83</v>
      </c>
      <c r="R34" s="22">
        <f t="shared" si="9"/>
        <v>0.1305034617194327</v>
      </c>
      <c r="S34" s="36">
        <v>100</v>
      </c>
      <c r="T34" s="18">
        <f t="shared" si="10"/>
        <v>436.36999999999995</v>
      </c>
      <c r="U34" s="41">
        <f>IF(SUM($U$4:U33)=1,0,IF(SUM($Q$4:Q34)&gt;39891.29,1,0))</f>
        <v>0</v>
      </c>
      <c r="V34" s="23">
        <f t="shared" ca="1" si="0"/>
        <v>-950.63000000000034</v>
      </c>
      <c r="W34" s="23">
        <f t="shared" ca="1" si="11"/>
        <v>-948.66500000000019</v>
      </c>
      <c r="X34" s="23">
        <f>IF(Q34=0,0,SUM($Q$32:Q34))</f>
        <v>123.49</v>
      </c>
      <c r="Y34" s="50">
        <f>IF(Q34=0,Y33,COUNTIF($Q$31:Q34,"&gt;0")/COUNTIF($Q$31:Q34,"&lt;&gt;0"))</f>
        <v>1</v>
      </c>
      <c r="AA34" s="68">
        <f t="shared" si="12"/>
        <v>0.1305034617194327</v>
      </c>
      <c r="AB34" s="68">
        <f t="shared" si="1"/>
        <v>0.21267389637419212</v>
      </c>
      <c r="AC34" s="69">
        <v>182.58</v>
      </c>
      <c r="AD34" s="69">
        <v>0</v>
      </c>
      <c r="AE34" s="68">
        <f t="shared" si="2"/>
        <v>0.61363178060092771</v>
      </c>
      <c r="AF34" s="70">
        <f t="shared" ca="1" si="3"/>
        <v>0</v>
      </c>
      <c r="AG34" s="71" t="str">
        <f t="shared" ca="1" si="4"/>
        <v>-</v>
      </c>
      <c r="AH34" s="69">
        <v>5.17</v>
      </c>
      <c r="AI34" s="28" t="s">
        <v>24</v>
      </c>
      <c r="AJ34" s="55"/>
      <c r="AL34" s="48"/>
      <c r="AO34" s="67"/>
      <c r="AQ34" s="48"/>
      <c r="AV34" s="32"/>
    </row>
    <row r="35" spans="2:48" ht="16.5" thickBot="1" x14ac:dyDescent="0.3">
      <c r="B35" s="33">
        <v>32</v>
      </c>
      <c r="C35" s="34">
        <f t="shared" si="13"/>
        <v>45985</v>
      </c>
      <c r="D35" s="35">
        <f t="shared" si="5"/>
        <v>2025</v>
      </c>
      <c r="E35" s="36">
        <f t="shared" si="14"/>
        <v>1387.0000000000002</v>
      </c>
      <c r="F35" s="36">
        <v>17.100000000000001</v>
      </c>
      <c r="G35" s="37">
        <f t="shared" si="6"/>
        <v>1.2328767123287671E-2</v>
      </c>
      <c r="H35" s="36">
        <f t="shared" si="17"/>
        <v>50</v>
      </c>
      <c r="I35" s="36">
        <f t="shared" si="7"/>
        <v>1454.1000000000001</v>
      </c>
      <c r="K35" s="36">
        <v>17.100000000000001</v>
      </c>
      <c r="L35" s="37">
        <v>2.5000000000000001E-2</v>
      </c>
      <c r="M35" s="36">
        <f t="shared" si="8"/>
        <v>50</v>
      </c>
      <c r="N35" s="36">
        <f t="shared" si="15"/>
        <v>1452.135</v>
      </c>
      <c r="P35" s="38">
        <f t="shared" si="16"/>
        <v>436.36999999999995</v>
      </c>
      <c r="Q35" s="56">
        <v>64.56</v>
      </c>
      <c r="R35" s="40">
        <f t="shared" si="9"/>
        <v>0.14794784242729797</v>
      </c>
      <c r="S35" s="36">
        <v>50</v>
      </c>
      <c r="T35" s="36">
        <f t="shared" si="10"/>
        <v>550.92999999999995</v>
      </c>
      <c r="U35" s="41">
        <f>IF(SUM($U$4:U34)=1,0,IF(SUM($Q$4:Q35)&gt;39891.29,1,0))</f>
        <v>0</v>
      </c>
      <c r="V35" s="36">
        <f t="shared" ca="1" si="0"/>
        <v>-903.17000000000019</v>
      </c>
      <c r="W35" s="36">
        <f t="shared" ca="1" si="11"/>
        <v>-901.20500000000004</v>
      </c>
      <c r="X35" s="36">
        <f>IF(Q35=0,0,SUM($Q$32:Q35))</f>
        <v>188.05</v>
      </c>
      <c r="Y35" s="37">
        <f>IF(Q35=0,Y34,COUNTIF($Q$31:Q35,"&gt;0")/COUNTIF($Q$31:Q35,"&lt;&gt;0"))</f>
        <v>1</v>
      </c>
      <c r="AA35" s="42">
        <f t="shared" si="12"/>
        <v>0.14794784242729797</v>
      </c>
      <c r="AB35" s="42">
        <f t="shared" si="1"/>
        <v>0.20257295262001884</v>
      </c>
      <c r="AC35" s="43">
        <v>318.7</v>
      </c>
      <c r="AD35" s="43">
        <v>0</v>
      </c>
      <c r="AE35" s="42">
        <f t="shared" si="2"/>
        <v>0.73034351582372758</v>
      </c>
      <c r="AF35" s="44">
        <f t="shared" ca="1" si="3"/>
        <v>0</v>
      </c>
      <c r="AG35" s="45" t="str">
        <f t="shared" ca="1" si="4"/>
        <v>-</v>
      </c>
      <c r="AH35" s="43">
        <v>13.44</v>
      </c>
      <c r="AI35" s="46" t="s">
        <v>24</v>
      </c>
      <c r="AJ35" s="47"/>
      <c r="AL35" s="48"/>
      <c r="AO35" s="67"/>
      <c r="AQ35" s="48"/>
      <c r="AV35" s="32"/>
    </row>
    <row r="36" spans="2:48" ht="16.5" thickBot="1" x14ac:dyDescent="0.3">
      <c r="B36" s="15">
        <v>33</v>
      </c>
      <c r="C36" s="16">
        <f t="shared" si="13"/>
        <v>45992</v>
      </c>
      <c r="D36" s="17">
        <f t="shared" si="5"/>
        <v>2025</v>
      </c>
      <c r="E36" s="18">
        <f t="shared" si="14"/>
        <v>1454.1000000000001</v>
      </c>
      <c r="F36" s="18">
        <v>17.61</v>
      </c>
      <c r="G36" s="19">
        <f t="shared" si="6"/>
        <v>1.2110583866309055E-2</v>
      </c>
      <c r="H36" s="18">
        <f t="shared" si="17"/>
        <v>0</v>
      </c>
      <c r="I36" s="18">
        <f t="shared" si="7"/>
        <v>1471.71</v>
      </c>
      <c r="K36" s="18">
        <v>17.61</v>
      </c>
      <c r="L36" s="19">
        <v>2.5000000000000001E-2</v>
      </c>
      <c r="M36" s="18">
        <f t="shared" si="8"/>
        <v>0</v>
      </c>
      <c r="N36" s="18">
        <f t="shared" si="15"/>
        <v>1469.7449999999999</v>
      </c>
      <c r="P36" s="20">
        <f t="shared" si="16"/>
        <v>550.92999999999995</v>
      </c>
      <c r="Q36" s="59">
        <v>53.12</v>
      </c>
      <c r="R36" s="22">
        <f t="shared" si="9"/>
        <v>9.6418782785471849E-2</v>
      </c>
      <c r="S36" s="18">
        <v>0</v>
      </c>
      <c r="T36" s="18">
        <f t="shared" si="10"/>
        <v>604.04999999999995</v>
      </c>
      <c r="U36" s="41">
        <f>IF(SUM($U$4:U35)=1,0,IF(SUM($Q$4:Q36)&gt;39891.29,1,0))</f>
        <v>0</v>
      </c>
      <c r="V36" s="23">
        <f t="shared" ca="1" si="0"/>
        <v>-867.66000000000008</v>
      </c>
      <c r="W36" s="23">
        <f t="shared" ca="1" si="11"/>
        <v>-865.69499999999994</v>
      </c>
      <c r="X36" s="23">
        <f>IF(Q36=0,0,SUM($Q$32:Q36))</f>
        <v>241.17000000000002</v>
      </c>
      <c r="Y36" s="50">
        <f>IF(Q36=0,Y35,COUNTIF($Q$31:Q36,"&gt;0")/COUNTIF($Q$31:Q36,"&lt;&gt;0"))</f>
        <v>1</v>
      </c>
      <c r="AA36" s="68">
        <f t="shared" si="12"/>
        <v>9.6418782785471849E-2</v>
      </c>
      <c r="AB36" s="68">
        <f t="shared" si="1"/>
        <v>6.2647419567883764E-2</v>
      </c>
      <c r="AC36" s="69">
        <v>847.92</v>
      </c>
      <c r="AD36" s="69">
        <v>0</v>
      </c>
      <c r="AE36" s="68">
        <f t="shared" si="2"/>
        <v>1.5390702993120724</v>
      </c>
      <c r="AF36" s="70">
        <f t="shared" ca="1" si="3"/>
        <v>0</v>
      </c>
      <c r="AG36" s="71" t="str">
        <f t="shared" ca="1" si="4"/>
        <v>-</v>
      </c>
      <c r="AH36" s="69">
        <v>35.950000000000003</v>
      </c>
      <c r="AI36" s="28" t="s">
        <v>24</v>
      </c>
      <c r="AJ36" s="55"/>
      <c r="AL36" s="48"/>
      <c r="AO36" s="67"/>
      <c r="AQ36" s="48"/>
      <c r="AV36" s="32"/>
    </row>
    <row r="37" spans="2:48" ht="16.5" thickBot="1" x14ac:dyDescent="0.3">
      <c r="B37" s="33">
        <v>34</v>
      </c>
      <c r="C37" s="34">
        <f t="shared" si="13"/>
        <v>45999</v>
      </c>
      <c r="D37" s="35">
        <f t="shared" si="5"/>
        <v>2025</v>
      </c>
      <c r="E37" s="36">
        <f t="shared" si="14"/>
        <v>1471.71</v>
      </c>
      <c r="F37" s="36">
        <v>18.14</v>
      </c>
      <c r="G37" s="37">
        <f t="shared" si="6"/>
        <v>1.2325797881376086E-2</v>
      </c>
      <c r="H37" s="36">
        <f t="shared" si="17"/>
        <v>50</v>
      </c>
      <c r="I37" s="36">
        <f t="shared" si="7"/>
        <v>1539.8500000000001</v>
      </c>
      <c r="K37" s="36">
        <v>18.14</v>
      </c>
      <c r="L37" s="37">
        <v>2.5000000000000001E-2</v>
      </c>
      <c r="M37" s="36">
        <f t="shared" si="8"/>
        <v>50</v>
      </c>
      <c r="N37" s="36">
        <f t="shared" si="15"/>
        <v>1537.885</v>
      </c>
      <c r="P37" s="38">
        <f t="shared" si="16"/>
        <v>604.04999999999995</v>
      </c>
      <c r="Q37" s="56">
        <v>167.24</v>
      </c>
      <c r="R37" s="40">
        <f t="shared" si="9"/>
        <v>0.27686449797202223</v>
      </c>
      <c r="S37" s="36">
        <v>50</v>
      </c>
      <c r="T37" s="36">
        <f t="shared" si="10"/>
        <v>821.29</v>
      </c>
      <c r="U37" s="41">
        <f>IF(SUM($U$4:U36)=1,0,IF(SUM($Q$4:Q37)&gt;39891.29,1,0))</f>
        <v>0</v>
      </c>
      <c r="V37" s="36">
        <f t="shared" ca="1" si="0"/>
        <v>-718.56000000000017</v>
      </c>
      <c r="W37" s="36">
        <f t="shared" ca="1" si="11"/>
        <v>-716.59500000000003</v>
      </c>
      <c r="X37" s="36">
        <f>IF(Q37=0,0,SUM($Q$32:Q37))</f>
        <v>408.41</v>
      </c>
      <c r="Y37" s="37">
        <f>IF(Q37=0,Y36,COUNTIF($Q$31:Q37,"&gt;0")/COUNTIF($Q$31:Q37,"&lt;&gt;0"))</f>
        <v>1</v>
      </c>
      <c r="AA37" s="42">
        <f t="shared" si="12"/>
        <v>0.27686449797202223</v>
      </c>
      <c r="AB37" s="42">
        <f t="shared" si="1"/>
        <v>0.27950663502356521</v>
      </c>
      <c r="AC37" s="43">
        <v>598.34</v>
      </c>
      <c r="AD37" s="43">
        <v>0</v>
      </c>
      <c r="AE37" s="42">
        <f t="shared" si="2"/>
        <v>0.99054714013740597</v>
      </c>
      <c r="AF37" s="44">
        <f t="shared" ca="1" si="3"/>
        <v>0</v>
      </c>
      <c r="AG37" s="45" t="str">
        <f t="shared" ca="1" si="4"/>
        <v>-</v>
      </c>
      <c r="AH37" s="43">
        <v>28.76</v>
      </c>
      <c r="AI37" s="46" t="s">
        <v>24</v>
      </c>
      <c r="AJ37" s="47"/>
      <c r="AL37" s="48"/>
      <c r="AO37" s="67"/>
      <c r="AQ37" s="48"/>
      <c r="AV37" s="32"/>
    </row>
    <row r="38" spans="2:48" ht="16.5" thickBot="1" x14ac:dyDescent="0.3">
      <c r="B38" s="15">
        <v>35</v>
      </c>
      <c r="C38" s="16">
        <f t="shared" si="13"/>
        <v>46006</v>
      </c>
      <c r="D38" s="17">
        <f t="shared" si="5"/>
        <v>2025</v>
      </c>
      <c r="E38" s="18">
        <f t="shared" si="14"/>
        <v>1539.8500000000001</v>
      </c>
      <c r="F38" s="18">
        <v>18.690000000000001</v>
      </c>
      <c r="G38" s="19">
        <f t="shared" si="6"/>
        <v>1.2137545864856967E-2</v>
      </c>
      <c r="H38" s="18">
        <f t="shared" si="17"/>
        <v>0</v>
      </c>
      <c r="I38" s="18">
        <f t="shared" si="7"/>
        <v>1558.5400000000002</v>
      </c>
      <c r="K38" s="18">
        <v>18.690000000000001</v>
      </c>
      <c r="L38" s="19">
        <v>2.5000000000000001E-2</v>
      </c>
      <c r="M38" s="18">
        <f t="shared" si="8"/>
        <v>0</v>
      </c>
      <c r="N38" s="18">
        <f t="shared" si="15"/>
        <v>1556.575</v>
      </c>
      <c r="P38" s="20">
        <f t="shared" si="16"/>
        <v>821.29</v>
      </c>
      <c r="Q38" s="59">
        <v>19.329999999999998</v>
      </c>
      <c r="R38" s="22">
        <f t="shared" si="9"/>
        <v>2.3536144358265655E-2</v>
      </c>
      <c r="S38" s="18">
        <v>0</v>
      </c>
      <c r="T38" s="18">
        <f t="shared" si="10"/>
        <v>840.62</v>
      </c>
      <c r="U38" s="41">
        <f>IF(SUM($U$4:U37)=1,0,IF(SUM($Q$4:Q38)&gt;39891.29,1,0))</f>
        <v>0</v>
      </c>
      <c r="V38" s="23">
        <f t="shared" ca="1" si="0"/>
        <v>-717.92000000000019</v>
      </c>
      <c r="W38" s="23">
        <f t="shared" ca="1" si="11"/>
        <v>-715.95500000000004</v>
      </c>
      <c r="X38" s="23">
        <f>IF(Q38=0,0,SUM($Q$32:Q38))</f>
        <v>427.74</v>
      </c>
      <c r="Y38" s="50">
        <f>IF(Q38=0,Y37,COUNTIF($Q$31:Q38,"&gt;0")/COUNTIF($Q$31:Q38,"&lt;&gt;0"))</f>
        <v>1</v>
      </c>
      <c r="AA38" s="68">
        <f t="shared" si="12"/>
        <v>2.3536144358265655E-2</v>
      </c>
      <c r="AB38" s="68">
        <f t="shared" si="1"/>
        <v>4.5011060658982416E-2</v>
      </c>
      <c r="AC38" s="69">
        <v>429.45</v>
      </c>
      <c r="AD38" s="69">
        <v>0</v>
      </c>
      <c r="AE38" s="68">
        <f t="shared" si="2"/>
        <v>0.52289690608676598</v>
      </c>
      <c r="AF38" s="70">
        <f t="shared" ca="1" si="3"/>
        <v>0</v>
      </c>
      <c r="AG38" s="71" t="str">
        <f t="shared" ca="1" si="4"/>
        <v>-</v>
      </c>
      <c r="AH38" s="69">
        <v>39.020000000000003</v>
      </c>
      <c r="AI38" s="28" t="s">
        <v>24</v>
      </c>
      <c r="AJ38" s="55"/>
      <c r="AL38" s="48"/>
      <c r="AO38" s="67"/>
      <c r="AQ38" s="48"/>
      <c r="AV38" s="32"/>
    </row>
    <row r="39" spans="2:48" ht="16.5" thickBot="1" x14ac:dyDescent="0.3">
      <c r="B39" s="33">
        <v>36</v>
      </c>
      <c r="C39" s="34">
        <f t="shared" si="13"/>
        <v>46013</v>
      </c>
      <c r="D39" s="35">
        <f t="shared" si="5"/>
        <v>2025</v>
      </c>
      <c r="E39" s="36">
        <f t="shared" si="14"/>
        <v>1558.5400000000002</v>
      </c>
      <c r="F39" s="36">
        <v>19.25</v>
      </c>
      <c r="G39" s="37">
        <f t="shared" si="6"/>
        <v>1.2351303142684818E-2</v>
      </c>
      <c r="H39" s="36">
        <f t="shared" si="17"/>
        <v>50</v>
      </c>
      <c r="I39" s="36">
        <f t="shared" si="7"/>
        <v>1627.7900000000002</v>
      </c>
      <c r="K39" s="36">
        <v>19.25</v>
      </c>
      <c r="L39" s="37">
        <v>2.5000000000000001E-2</v>
      </c>
      <c r="M39" s="36">
        <f t="shared" si="8"/>
        <v>50</v>
      </c>
      <c r="N39" s="36">
        <f t="shared" si="15"/>
        <v>1625.825</v>
      </c>
      <c r="P39" s="38">
        <f t="shared" si="16"/>
        <v>840.62</v>
      </c>
      <c r="Q39" s="56">
        <v>39.32</v>
      </c>
      <c r="R39" s="40">
        <f t="shared" si="9"/>
        <v>4.6774999405200926E-2</v>
      </c>
      <c r="S39" s="36">
        <v>50</v>
      </c>
      <c r="T39" s="36">
        <f t="shared" si="10"/>
        <v>929.94</v>
      </c>
      <c r="U39" s="41">
        <f>IF(SUM($U$4:U38)=1,0,IF(SUM($Q$4:Q39)&gt;39891.29,1,0))</f>
        <v>0</v>
      </c>
      <c r="V39" s="36">
        <f t="shared" ca="1" si="0"/>
        <v>-697.85000000000014</v>
      </c>
      <c r="W39" s="36">
        <f t="shared" ca="1" si="11"/>
        <v>-695.88499999999999</v>
      </c>
      <c r="X39" s="36">
        <f>IF(Q39=0,0,SUM($Q$32:Q39))</f>
        <v>467.06</v>
      </c>
      <c r="Y39" s="37">
        <f>IF(Q39=0,Y38,COUNTIF($Q$31:Q39,"&gt;0")/COUNTIF($Q$31:Q39,"&lt;&gt;0"))</f>
        <v>1</v>
      </c>
      <c r="AA39" s="42">
        <f t="shared" si="12"/>
        <v>4.6774999405200926E-2</v>
      </c>
      <c r="AB39" s="42">
        <f t="shared" si="1"/>
        <v>0.19878665318503538</v>
      </c>
      <c r="AC39" s="43">
        <v>197.8</v>
      </c>
      <c r="AD39" s="43">
        <v>0</v>
      </c>
      <c r="AE39" s="42">
        <f t="shared" si="2"/>
        <v>0.23530251481049702</v>
      </c>
      <c r="AF39" s="44">
        <f t="shared" ca="1" si="3"/>
        <v>0</v>
      </c>
      <c r="AG39" s="45" t="str">
        <f t="shared" ca="1" si="4"/>
        <v>-</v>
      </c>
      <c r="AH39" s="43">
        <v>25.68</v>
      </c>
      <c r="AI39" s="46" t="s">
        <v>24</v>
      </c>
      <c r="AJ39" s="47"/>
      <c r="AO39" s="67"/>
      <c r="AQ39" s="48"/>
      <c r="AV39" s="32"/>
    </row>
    <row r="40" spans="2:48" ht="16.5" thickBot="1" x14ac:dyDescent="0.3">
      <c r="B40" s="72">
        <v>37</v>
      </c>
      <c r="C40" s="73">
        <f t="shared" si="13"/>
        <v>46020</v>
      </c>
      <c r="D40" s="74">
        <f t="shared" si="5"/>
        <v>2025</v>
      </c>
      <c r="E40" s="75">
        <f t="shared" si="14"/>
        <v>1627.7900000000002</v>
      </c>
      <c r="F40" s="75">
        <v>19.82</v>
      </c>
      <c r="G40" s="76">
        <f t="shared" si="6"/>
        <v>1.2176017790992694E-2</v>
      </c>
      <c r="H40" s="75">
        <f t="shared" si="17"/>
        <v>0</v>
      </c>
      <c r="I40" s="75">
        <f t="shared" si="7"/>
        <v>1647.6100000000001</v>
      </c>
      <c r="K40" s="75">
        <v>19.82</v>
      </c>
      <c r="L40" s="76">
        <v>2.5000000000000001E-2</v>
      </c>
      <c r="M40" s="75">
        <f t="shared" si="8"/>
        <v>0</v>
      </c>
      <c r="N40" s="75">
        <f t="shared" si="15"/>
        <v>1645.645</v>
      </c>
      <c r="P40" s="77">
        <f t="shared" si="16"/>
        <v>929.94</v>
      </c>
      <c r="Q40" s="78">
        <v>0</v>
      </c>
      <c r="R40" s="79" t="str">
        <f t="shared" si="9"/>
        <v>-</v>
      </c>
      <c r="S40" s="75">
        <v>0</v>
      </c>
      <c r="T40" s="75">
        <f t="shared" si="10"/>
        <v>929.94</v>
      </c>
      <c r="U40" s="41">
        <f>IF(SUM($U$4:U39)=1,0,IF(SUM($Q$4:Q40)&gt;39891.29,1,0))</f>
        <v>0</v>
      </c>
      <c r="V40" s="80">
        <f t="shared" ca="1" si="0"/>
        <v>-717.67000000000007</v>
      </c>
      <c r="W40" s="80">
        <f t="shared" ca="1" si="11"/>
        <v>-715.70499999999993</v>
      </c>
      <c r="X40" s="80">
        <f>IF(Q40=0,0,SUM($Q$32:Q40))</f>
        <v>0</v>
      </c>
      <c r="Y40" s="81">
        <f>IF(Q40=0,Y39,COUNTIF($Q$31:Q40,"&gt;0")/COUNTIF($Q$31:Q40,"&lt;&gt;0"))</f>
        <v>1</v>
      </c>
      <c r="AA40" s="82" t="str">
        <f t="shared" si="12"/>
        <v>-</v>
      </c>
      <c r="AB40" s="82" t="str">
        <f t="shared" si="1"/>
        <v>-</v>
      </c>
      <c r="AC40" s="83">
        <v>0</v>
      </c>
      <c r="AD40" s="83">
        <v>0</v>
      </c>
      <c r="AE40" s="82" t="str">
        <f t="shared" si="2"/>
        <v>-</v>
      </c>
      <c r="AF40" s="84">
        <f t="shared" ca="1" si="3"/>
        <v>0</v>
      </c>
      <c r="AG40" s="85" t="str">
        <f t="shared" ca="1" si="4"/>
        <v>-</v>
      </c>
      <c r="AH40" s="83">
        <v>0</v>
      </c>
      <c r="AI40" s="86" t="s">
        <v>30</v>
      </c>
      <c r="AJ40" s="87"/>
      <c r="AO40" s="67"/>
      <c r="AQ40" s="48"/>
      <c r="AV40" s="32"/>
    </row>
    <row r="41" spans="2:48" ht="16.5" thickBot="1" x14ac:dyDescent="0.3">
      <c r="B41" s="88">
        <v>38</v>
      </c>
      <c r="C41" s="89">
        <f t="shared" si="13"/>
        <v>46027</v>
      </c>
      <c r="D41" s="90">
        <f t="shared" si="5"/>
        <v>2026</v>
      </c>
      <c r="E41" s="91">
        <f t="shared" si="14"/>
        <v>1647.6100000000001</v>
      </c>
      <c r="F41" s="91">
        <v>20.420000000000002</v>
      </c>
      <c r="G41" s="92">
        <f t="shared" si="6"/>
        <v>1.239370967644042E-2</v>
      </c>
      <c r="H41" s="91">
        <f t="shared" si="17"/>
        <v>100</v>
      </c>
      <c r="I41" s="91">
        <f t="shared" si="7"/>
        <v>1768.0300000000002</v>
      </c>
      <c r="K41" s="91">
        <v>20.420000000000002</v>
      </c>
      <c r="L41" s="92">
        <v>2.5000000000000001E-2</v>
      </c>
      <c r="M41" s="91">
        <f t="shared" si="8"/>
        <v>100</v>
      </c>
      <c r="N41" s="91">
        <f t="shared" si="15"/>
        <v>1766.0650000000001</v>
      </c>
      <c r="P41" s="93">
        <f t="shared" si="16"/>
        <v>929.94</v>
      </c>
      <c r="Q41" s="94">
        <v>610.4</v>
      </c>
      <c r="R41" s="95">
        <f t="shared" si="9"/>
        <v>0.65638643353334614</v>
      </c>
      <c r="S41" s="91">
        <v>100</v>
      </c>
      <c r="T41" s="91">
        <f t="shared" si="10"/>
        <v>1640.3400000000001</v>
      </c>
      <c r="U41" s="41">
        <f>IF(SUM($U$4:U40)=1,0,IF(SUM($Q$4:Q41)&gt;39891.29,1,0))</f>
        <v>0</v>
      </c>
      <c r="V41" s="91">
        <f t="shared" ca="1" si="0"/>
        <v>-127.69000000000005</v>
      </c>
      <c r="W41" s="91">
        <f t="shared" ca="1" si="11"/>
        <v>-125.72499999999991</v>
      </c>
      <c r="X41" s="91">
        <f>IF(Q41=0,0,SUM($Q$41:Q41))</f>
        <v>610.4</v>
      </c>
      <c r="Y41" s="92">
        <f>IF(Q41=0,Y40,COUNTIF($Q$41:Q41,"&gt;0")/COUNTIF($Q$41:Q41,"&lt;&gt;0"))</f>
        <v>1</v>
      </c>
      <c r="AA41" s="96">
        <f t="shared" si="12"/>
        <v>0.65638643353334614</v>
      </c>
      <c r="AB41" s="96">
        <f t="shared" si="1"/>
        <v>0.69354966992762268</v>
      </c>
      <c r="AC41" s="97">
        <v>880.11</v>
      </c>
      <c r="AD41" s="97">
        <v>0</v>
      </c>
      <c r="AE41" s="96">
        <f t="shared" si="2"/>
        <v>0.94641589779985802</v>
      </c>
      <c r="AF41" s="98">
        <f t="shared" ca="1" si="3"/>
        <v>0</v>
      </c>
      <c r="AG41" s="99" t="str">
        <f t="shared" ca="1" si="4"/>
        <v>-</v>
      </c>
      <c r="AH41" s="97">
        <v>118.6</v>
      </c>
      <c r="AI41" s="100" t="s">
        <v>31</v>
      </c>
      <c r="AJ41" s="101"/>
      <c r="AK41" s="66"/>
      <c r="AL41" s="32">
        <v>1000</v>
      </c>
      <c r="AM41" s="102">
        <f>L41</f>
        <v>2.5000000000000001E-2</v>
      </c>
      <c r="AN41" s="32">
        <f>AL41*AM41</f>
        <v>25</v>
      </c>
      <c r="AO41" s="48"/>
      <c r="AQ41" s="48"/>
      <c r="AV41" s="32"/>
    </row>
    <row r="42" spans="2:48" ht="16.5" thickBot="1" x14ac:dyDescent="0.3">
      <c r="B42" s="15">
        <v>39</v>
      </c>
      <c r="C42" s="16">
        <f t="shared" si="13"/>
        <v>46034</v>
      </c>
      <c r="D42" s="17">
        <f t="shared" si="5"/>
        <v>2026</v>
      </c>
      <c r="E42" s="18">
        <f t="shared" si="14"/>
        <v>1768.0300000000002</v>
      </c>
      <c r="F42" s="18">
        <v>21.03</v>
      </c>
      <c r="G42" s="19">
        <f t="shared" si="6"/>
        <v>1.1894594548735033E-2</v>
      </c>
      <c r="H42" s="18">
        <f t="shared" si="17"/>
        <v>0</v>
      </c>
      <c r="I42" s="18">
        <f t="shared" si="7"/>
        <v>1789.0600000000002</v>
      </c>
      <c r="K42" s="18">
        <f>L42*N41</f>
        <v>44.151625000000003</v>
      </c>
      <c r="L42" s="19">
        <v>2.5000000000000001E-2</v>
      </c>
      <c r="M42" s="18">
        <f t="shared" si="8"/>
        <v>0</v>
      </c>
      <c r="N42" s="18">
        <f t="shared" si="15"/>
        <v>1810.216625</v>
      </c>
      <c r="P42" s="20">
        <f t="shared" si="16"/>
        <v>1640.3400000000001</v>
      </c>
      <c r="Q42" s="59">
        <v>-202</v>
      </c>
      <c r="R42" s="22">
        <f t="shared" si="9"/>
        <v>-0.12314520160454538</v>
      </c>
      <c r="S42" s="18">
        <v>0</v>
      </c>
      <c r="T42" s="18">
        <f t="shared" si="10"/>
        <v>1438.3400000000001</v>
      </c>
      <c r="U42" s="41">
        <f>IF(SUM($U$4:U41)=1,0,IF(SUM($Q$4:Q42)&gt;39891.29,1,0))</f>
        <v>0</v>
      </c>
      <c r="V42" s="23">
        <f t="shared" ca="1" si="0"/>
        <v>-350.72</v>
      </c>
      <c r="W42" s="23">
        <f t="shared" ca="1" si="11"/>
        <v>-371.87662499999988</v>
      </c>
      <c r="X42" s="23">
        <f>IF(Q42=0,0,SUM($Q$41:Q42))</f>
        <v>408.4</v>
      </c>
      <c r="Y42" s="50">
        <f>IF(Q42=0,Y41,COUNTIF($Q$41:Q42,"&gt;0")/COUNTIF($Q$41:Q42,"&lt;&gt;0"))</f>
        <v>0.5</v>
      </c>
      <c r="AA42" s="51">
        <f t="shared" si="12"/>
        <v>-0.12314520160454538</v>
      </c>
      <c r="AB42" s="51">
        <f t="shared" si="1"/>
        <v>-0.22423515829670085</v>
      </c>
      <c r="AC42" s="52">
        <v>900.84</v>
      </c>
      <c r="AD42" s="52">
        <v>0</v>
      </c>
      <c r="AE42" s="51">
        <f t="shared" si="2"/>
        <v>0.54917882877939939</v>
      </c>
      <c r="AF42" s="53">
        <f t="shared" ca="1" si="3"/>
        <v>0</v>
      </c>
      <c r="AG42" s="54" t="str">
        <f t="shared" ca="1" si="4"/>
        <v>-</v>
      </c>
      <c r="AH42" s="52">
        <v>61.88</v>
      </c>
      <c r="AI42" s="103" t="s">
        <v>32</v>
      </c>
      <c r="AJ42" s="104"/>
      <c r="AK42" s="67"/>
      <c r="AL42" s="32">
        <f>AL41+AN41+AO41</f>
        <v>1025</v>
      </c>
      <c r="AM42" s="102">
        <f t="shared" ref="AM42:AM92" si="18">L42</f>
        <v>2.5000000000000001E-2</v>
      </c>
      <c r="AN42" s="32">
        <f>AL42*AM42</f>
        <v>25.625</v>
      </c>
      <c r="AO42" s="67"/>
      <c r="AQ42" s="48"/>
      <c r="AV42" s="32"/>
    </row>
    <row r="43" spans="2:48" ht="16.5" thickBot="1" x14ac:dyDescent="0.3">
      <c r="B43" s="33">
        <v>40</v>
      </c>
      <c r="C43" s="34">
        <f t="shared" si="13"/>
        <v>46041</v>
      </c>
      <c r="D43" s="35">
        <f t="shared" si="5"/>
        <v>2026</v>
      </c>
      <c r="E43" s="36">
        <f t="shared" si="14"/>
        <v>1789.0600000000002</v>
      </c>
      <c r="F43" s="36">
        <v>21.66</v>
      </c>
      <c r="G43" s="37">
        <f t="shared" si="6"/>
        <v>1.2106916481280672E-2</v>
      </c>
      <c r="H43" s="36">
        <f t="shared" si="17"/>
        <v>100</v>
      </c>
      <c r="I43" s="36">
        <f t="shared" si="7"/>
        <v>1910.7200000000003</v>
      </c>
      <c r="K43" s="36">
        <f t="shared" ref="K43:K106" si="19">L43*N42</f>
        <v>45.255415625000005</v>
      </c>
      <c r="L43" s="37">
        <v>2.5000000000000001E-2</v>
      </c>
      <c r="M43" s="36">
        <f t="shared" si="8"/>
        <v>100</v>
      </c>
      <c r="N43" s="36">
        <f t="shared" si="15"/>
        <v>1955.4720406250001</v>
      </c>
      <c r="P43" s="38">
        <f t="shared" si="16"/>
        <v>1438.3400000000001</v>
      </c>
      <c r="Q43" s="56">
        <v>257.02</v>
      </c>
      <c r="R43" s="40">
        <f t="shared" si="9"/>
        <v>0.17869210339697147</v>
      </c>
      <c r="S43" s="36">
        <f>S41</f>
        <v>100</v>
      </c>
      <c r="T43" s="36">
        <f t="shared" si="10"/>
        <v>1795.3600000000001</v>
      </c>
      <c r="U43" s="41">
        <f>IF(SUM($U$4:U42)=1,0,IF(SUM($Q$4:Q43)&gt;39891.29,1,0))</f>
        <v>0</v>
      </c>
      <c r="V43" s="36">
        <f t="shared" ca="1" si="0"/>
        <v>-115.36000000000013</v>
      </c>
      <c r="W43" s="36">
        <f t="shared" ca="1" si="11"/>
        <v>-160.11204062499996</v>
      </c>
      <c r="X43" s="36">
        <f>IF(Q43=0,0,SUM($Q$41:Q43))</f>
        <v>665.42</v>
      </c>
      <c r="Y43" s="37">
        <f>IF(Q43=0,Y42,COUNTIF($Q$41:Q43,"&gt;0")/COUNTIF($Q$41:Q43,"&lt;&gt;0"))</f>
        <v>0.66666666666666663</v>
      </c>
      <c r="AA43" s="42">
        <f t="shared" si="12"/>
        <v>0.17869210339697147</v>
      </c>
      <c r="AB43" s="42">
        <f t="shared" si="1"/>
        <v>0.16530424548021327</v>
      </c>
      <c r="AC43" s="43">
        <v>1554.83</v>
      </c>
      <c r="AD43" s="43">
        <v>0</v>
      </c>
      <c r="AE43" s="42">
        <f t="shared" si="2"/>
        <v>1.080989195878582</v>
      </c>
      <c r="AF43" s="44">
        <f t="shared" ca="1" si="3"/>
        <v>0</v>
      </c>
      <c r="AG43" s="45" t="str">
        <f t="shared" ca="1" si="4"/>
        <v>-</v>
      </c>
      <c r="AH43" s="43">
        <v>97.98</v>
      </c>
      <c r="AI43" s="46" t="s">
        <v>24</v>
      </c>
      <c r="AJ43" s="47"/>
      <c r="AL43" s="32">
        <f t="shared" ref="AL43:AL92" si="20">AL42+AN42+AO42</f>
        <v>1050.625</v>
      </c>
      <c r="AM43" s="102">
        <f t="shared" si="18"/>
        <v>2.5000000000000001E-2</v>
      </c>
      <c r="AN43" s="32">
        <f t="shared" ref="AN43:AN92" si="21">AL43*AM43</f>
        <v>26.265625</v>
      </c>
      <c r="AO43" s="48"/>
      <c r="AQ43" s="48"/>
      <c r="AV43" s="32"/>
    </row>
    <row r="44" spans="2:48" ht="16.5" thickBot="1" x14ac:dyDescent="0.3">
      <c r="B44" s="15">
        <v>41</v>
      </c>
      <c r="C44" s="16">
        <f t="shared" si="13"/>
        <v>46048</v>
      </c>
      <c r="D44" s="17">
        <f t="shared" si="5"/>
        <v>2026</v>
      </c>
      <c r="E44" s="18">
        <f t="shared" si="14"/>
        <v>1910.7200000000003</v>
      </c>
      <c r="F44" s="18">
        <v>22.31</v>
      </c>
      <c r="G44" s="19">
        <f t="shared" si="6"/>
        <v>1.1676226762686315E-2</v>
      </c>
      <c r="H44" s="18">
        <f t="shared" si="17"/>
        <v>0</v>
      </c>
      <c r="I44" s="18">
        <f t="shared" si="7"/>
        <v>1933.0300000000002</v>
      </c>
      <c r="K44" s="18">
        <f t="shared" si="19"/>
        <v>48.886801015625004</v>
      </c>
      <c r="L44" s="19">
        <v>2.5000000000000001E-2</v>
      </c>
      <c r="M44" s="18">
        <f t="shared" si="8"/>
        <v>0</v>
      </c>
      <c r="N44" s="18">
        <f t="shared" si="15"/>
        <v>2004.3588416406251</v>
      </c>
      <c r="P44" s="20">
        <f t="shared" si="16"/>
        <v>1795.3600000000001</v>
      </c>
      <c r="Q44" s="59">
        <v>243.74</v>
      </c>
      <c r="R44" s="22">
        <f t="shared" si="9"/>
        <v>0.13576107298814721</v>
      </c>
      <c r="S44" s="18">
        <v>0</v>
      </c>
      <c r="T44" s="18">
        <f t="shared" si="10"/>
        <v>2039.1000000000001</v>
      </c>
      <c r="U44" s="41">
        <f>IF(SUM($U$4:U43)=1,0,IF(SUM($Q$4:Q44)&gt;39891.29,1,0))</f>
        <v>0</v>
      </c>
      <c r="V44" s="23">
        <f t="shared" ca="1" si="0"/>
        <v>106.06999999999994</v>
      </c>
      <c r="W44" s="23">
        <f t="shared" ca="1" si="11"/>
        <v>34.741158359375049</v>
      </c>
      <c r="X44" s="23">
        <f>IF(Q44=0,0,SUM($Q$41:Q44))</f>
        <v>909.16</v>
      </c>
      <c r="Y44" s="50">
        <f>IF(Q44=0,Y43,COUNTIF($Q$41:Q44,"&gt;0")/COUNTIF($Q$41:Q44,"&lt;&gt;0"))</f>
        <v>0.75</v>
      </c>
      <c r="AA44" s="51">
        <f>IF(IFERROR(Q44/P44,0)=0,"-",IFERROR(Q44/P44,0))</f>
        <v>0.13576107298814721</v>
      </c>
      <c r="AB44" s="51">
        <f t="shared" si="1"/>
        <v>0.12361795792506036</v>
      </c>
      <c r="AC44" s="52">
        <v>1971.72</v>
      </c>
      <c r="AD44" s="52">
        <v>0</v>
      </c>
      <c r="AE44" s="51">
        <f t="shared" si="2"/>
        <v>1.0982309954549505</v>
      </c>
      <c r="AF44" s="53">
        <f t="shared" ca="1" si="3"/>
        <v>21.213999999999988</v>
      </c>
      <c r="AG44" s="54">
        <f t="shared" ca="1" si="4"/>
        <v>1.0516639954746871</v>
      </c>
      <c r="AH44" s="52">
        <v>46.41</v>
      </c>
      <c r="AI44" s="28" t="s">
        <v>33</v>
      </c>
      <c r="AJ44" s="55"/>
      <c r="AL44" s="32">
        <f t="shared" si="20"/>
        <v>1076.890625</v>
      </c>
      <c r="AM44" s="102">
        <f t="shared" si="18"/>
        <v>2.5000000000000001E-2</v>
      </c>
      <c r="AN44" s="32">
        <f t="shared" si="21"/>
        <v>26.922265625000001</v>
      </c>
      <c r="AO44" s="67"/>
      <c r="AQ44" s="48"/>
      <c r="AV44" s="32"/>
    </row>
    <row r="45" spans="2:48" ht="16.5" thickBot="1" x14ac:dyDescent="0.3">
      <c r="B45" s="33">
        <v>42</v>
      </c>
      <c r="C45" s="34">
        <f t="shared" si="13"/>
        <v>46055</v>
      </c>
      <c r="D45" s="35">
        <f t="shared" si="5"/>
        <v>2026</v>
      </c>
      <c r="E45" s="36">
        <f t="shared" si="14"/>
        <v>1933.0300000000002</v>
      </c>
      <c r="F45" s="36">
        <v>22.98</v>
      </c>
      <c r="G45" s="37">
        <f t="shared" si="6"/>
        <v>1.188807209406993E-2</v>
      </c>
      <c r="H45" s="36">
        <f t="shared" si="17"/>
        <v>100</v>
      </c>
      <c r="I45" s="36">
        <f t="shared" si="7"/>
        <v>2056.0100000000002</v>
      </c>
      <c r="K45" s="36">
        <f t="shared" si="19"/>
        <v>50.108971041015629</v>
      </c>
      <c r="L45" s="37">
        <v>2.5000000000000001E-2</v>
      </c>
      <c r="M45" s="36">
        <f t="shared" si="8"/>
        <v>100</v>
      </c>
      <c r="N45" s="36">
        <f t="shared" si="15"/>
        <v>2154.4678126816407</v>
      </c>
      <c r="P45" s="38">
        <f t="shared" si="16"/>
        <v>2039.1000000000001</v>
      </c>
      <c r="Q45" s="56">
        <v>486.53</v>
      </c>
      <c r="R45" s="40">
        <f t="shared" si="9"/>
        <v>0.23860036290520326</v>
      </c>
      <c r="S45" s="36">
        <f>S43</f>
        <v>100</v>
      </c>
      <c r="T45" s="36">
        <f t="shared" si="10"/>
        <v>2625.63</v>
      </c>
      <c r="U45" s="41">
        <f>IF(SUM($U$4:U44)=1,0,IF(SUM($Q$4:Q45)&gt;39891.29,1,0))</f>
        <v>0</v>
      </c>
      <c r="V45" s="36">
        <f t="shared" ca="1" si="0"/>
        <v>569.61999999999989</v>
      </c>
      <c r="W45" s="36">
        <f t="shared" ca="1" si="11"/>
        <v>471.16218731835943</v>
      </c>
      <c r="X45" s="36">
        <f>IF(Q45=0,0,SUM($Q$41:Q45))</f>
        <v>1395.69</v>
      </c>
      <c r="Y45" s="37">
        <f>IF(Q45=0,Y44,COUNTIF($Q$41:Q45,"&gt;0")/COUNTIF($Q$41:Q45,"&lt;&gt;0"))</f>
        <v>0.8</v>
      </c>
      <c r="AA45" s="42">
        <f t="shared" si="12"/>
        <v>0.23860036290520326</v>
      </c>
      <c r="AB45" s="42">
        <f t="shared" si="1"/>
        <v>0.29809878010673302</v>
      </c>
      <c r="AC45" s="43">
        <v>1632.11</v>
      </c>
      <c r="AD45" s="43">
        <v>0</v>
      </c>
      <c r="AE45" s="42">
        <f t="shared" si="2"/>
        <v>0.80040704232259319</v>
      </c>
      <c r="AF45" s="44">
        <f t="shared" ca="1" si="3"/>
        <v>113.92399999999998</v>
      </c>
      <c r="AG45" s="45">
        <f t="shared" ca="1" si="4"/>
        <v>0.20171342298374359</v>
      </c>
      <c r="AH45" s="43">
        <v>82.49</v>
      </c>
      <c r="AI45" s="46" t="s">
        <v>34</v>
      </c>
      <c r="AJ45" s="47"/>
      <c r="AL45" s="32">
        <f t="shared" si="20"/>
        <v>1103.8128906249999</v>
      </c>
      <c r="AM45" s="102">
        <f t="shared" si="18"/>
        <v>2.5000000000000001E-2</v>
      </c>
      <c r="AN45" s="32">
        <f t="shared" si="21"/>
        <v>27.595322265625001</v>
      </c>
      <c r="AO45" s="48"/>
      <c r="AQ45" s="48"/>
      <c r="AV45" s="32"/>
    </row>
    <row r="46" spans="2:48" ht="16.5" thickBot="1" x14ac:dyDescent="0.3">
      <c r="B46" s="15">
        <v>43</v>
      </c>
      <c r="C46" s="16">
        <f t="shared" si="13"/>
        <v>46062</v>
      </c>
      <c r="D46" s="17">
        <f t="shared" si="5"/>
        <v>2026</v>
      </c>
      <c r="E46" s="18">
        <f t="shared" si="14"/>
        <v>2056.0100000000002</v>
      </c>
      <c r="F46" s="18">
        <v>23.67</v>
      </c>
      <c r="G46" s="19">
        <f t="shared" si="6"/>
        <v>1.1512589919309731E-2</v>
      </c>
      <c r="H46" s="18">
        <f t="shared" si="17"/>
        <v>0</v>
      </c>
      <c r="I46" s="18">
        <f t="shared" si="7"/>
        <v>2079.6800000000003</v>
      </c>
      <c r="K46" s="18">
        <f t="shared" si="19"/>
        <v>53.861695317041018</v>
      </c>
      <c r="L46" s="19">
        <v>2.5000000000000001E-2</v>
      </c>
      <c r="M46" s="18">
        <f t="shared" si="8"/>
        <v>0</v>
      </c>
      <c r="N46" s="18">
        <f t="shared" si="15"/>
        <v>2208.3295079986815</v>
      </c>
      <c r="P46" s="20">
        <f t="shared" si="16"/>
        <v>2625.63</v>
      </c>
      <c r="Q46" s="59">
        <v>132.59</v>
      </c>
      <c r="R46" s="22">
        <f t="shared" si="9"/>
        <v>5.0498356584895814E-2</v>
      </c>
      <c r="S46" s="18">
        <f t="shared" ref="S46:S109" si="22">S44</f>
        <v>0</v>
      </c>
      <c r="T46" s="18">
        <f t="shared" si="10"/>
        <v>2758.2200000000003</v>
      </c>
      <c r="U46" s="41">
        <f>IF(SUM($U$4:U45)=1,0,IF(SUM($Q$4:Q46)&gt;39891.29,1,0))</f>
        <v>0</v>
      </c>
      <c r="V46" s="23">
        <f t="shared" ca="1" si="0"/>
        <v>678.54</v>
      </c>
      <c r="W46" s="23">
        <f t="shared" ca="1" si="11"/>
        <v>549.89049200131876</v>
      </c>
      <c r="X46" s="23">
        <f>IF(Q46=0,0,SUM($Q$41:Q46))</f>
        <v>1528.28</v>
      </c>
      <c r="Y46" s="50">
        <f>IF(Q46=0,Y45,COUNTIF($Q$41:Q46,"&gt;0")/COUNTIF($Q$41:Q46,"&lt;&gt;0"))</f>
        <v>0.83333333333333337</v>
      </c>
      <c r="AA46" s="51">
        <f t="shared" si="12"/>
        <v>5.0498356584895814E-2</v>
      </c>
      <c r="AB46" s="51">
        <f t="shared" si="1"/>
        <v>5.3396318356268097E-2</v>
      </c>
      <c r="AC46" s="52">
        <v>2483.13</v>
      </c>
      <c r="AD46" s="52">
        <v>0</v>
      </c>
      <c r="AE46" s="51">
        <f t="shared" si="2"/>
        <v>0.9457273111596074</v>
      </c>
      <c r="AF46" s="53">
        <f t="shared" ca="1" si="3"/>
        <v>135.708</v>
      </c>
      <c r="AG46" s="54">
        <f t="shared" ca="1" si="4"/>
        <v>0.1744186046511628</v>
      </c>
      <c r="AH46" s="52">
        <v>46.41</v>
      </c>
      <c r="AI46" s="28" t="s">
        <v>35</v>
      </c>
      <c r="AJ46" s="55"/>
      <c r="AL46" s="32">
        <f t="shared" si="20"/>
        <v>1131.408212890625</v>
      </c>
      <c r="AM46" s="102">
        <f t="shared" si="18"/>
        <v>2.5000000000000001E-2</v>
      </c>
      <c r="AN46" s="32">
        <f t="shared" si="21"/>
        <v>28.285205322265625</v>
      </c>
      <c r="AO46" s="67"/>
      <c r="AQ46" s="48"/>
      <c r="AV46" s="32"/>
    </row>
    <row r="47" spans="2:48" ht="16.5" thickBot="1" x14ac:dyDescent="0.3">
      <c r="B47" s="33">
        <v>44</v>
      </c>
      <c r="C47" s="34">
        <f t="shared" si="13"/>
        <v>46069</v>
      </c>
      <c r="D47" s="35">
        <f t="shared" si="5"/>
        <v>2026</v>
      </c>
      <c r="E47" s="36">
        <f t="shared" si="14"/>
        <v>2079.6800000000003</v>
      </c>
      <c r="F47" s="36">
        <v>24.38</v>
      </c>
      <c r="G47" s="37">
        <f t="shared" si="6"/>
        <v>1.172295737805816E-2</v>
      </c>
      <c r="H47" s="36">
        <f t="shared" si="17"/>
        <v>100</v>
      </c>
      <c r="I47" s="36">
        <f t="shared" si="7"/>
        <v>2204.0600000000004</v>
      </c>
      <c r="K47" s="36">
        <f t="shared" si="19"/>
        <v>55.208237699967043</v>
      </c>
      <c r="L47" s="37">
        <v>2.5000000000000001E-2</v>
      </c>
      <c r="M47" s="36">
        <f t="shared" si="8"/>
        <v>100</v>
      </c>
      <c r="N47" s="36">
        <f t="shared" si="15"/>
        <v>2363.5377456986485</v>
      </c>
      <c r="P47" s="38">
        <f t="shared" si="16"/>
        <v>2758.2200000000003</v>
      </c>
      <c r="Q47" s="56">
        <v>165.06</v>
      </c>
      <c r="R47" s="40">
        <f t="shared" si="9"/>
        <v>5.9842942187352706E-2</v>
      </c>
      <c r="S47" s="36">
        <f t="shared" si="22"/>
        <v>100</v>
      </c>
      <c r="T47" s="36">
        <f t="shared" si="10"/>
        <v>3023.28</v>
      </c>
      <c r="U47" s="41">
        <f>IF(SUM($U$4:U46)=1,0,IF(SUM($Q$4:Q47)&gt;39891.29,1,0))</f>
        <v>0</v>
      </c>
      <c r="V47" s="36">
        <f t="shared" ca="1" si="0"/>
        <v>819.2199999999998</v>
      </c>
      <c r="W47" s="36">
        <f t="shared" ca="1" si="11"/>
        <v>659.74225430135175</v>
      </c>
      <c r="X47" s="36">
        <f>IF(Q47=0,0,SUM($Q$41:Q47))</f>
        <v>1693.34</v>
      </c>
      <c r="Y47" s="37">
        <f>IF(Q47=0,Y46,COUNTIF($Q$41:Q47,"&gt;0")/COUNTIF($Q$41:Q47,"&lt;&gt;0"))</f>
        <v>0.8571428571428571</v>
      </c>
      <c r="AA47" s="42">
        <f t="shared" si="12"/>
        <v>5.9842942187352706E-2</v>
      </c>
      <c r="AB47" s="42">
        <f t="shared" si="1"/>
        <v>0.15291545459598674</v>
      </c>
      <c r="AC47" s="43">
        <v>1079.42</v>
      </c>
      <c r="AD47" s="43">
        <v>0</v>
      </c>
      <c r="AE47" s="42">
        <f t="shared" si="2"/>
        <v>0.39134659309264669</v>
      </c>
      <c r="AF47" s="44">
        <f t="shared" ca="1" si="3"/>
        <v>163.84399999999997</v>
      </c>
      <c r="AG47" s="45">
        <f t="shared" ca="1" si="4"/>
        <v>0.14880007812309273</v>
      </c>
      <c r="AH47" s="43">
        <v>30.94</v>
      </c>
      <c r="AI47" s="46" t="s">
        <v>36</v>
      </c>
      <c r="AJ47" s="47"/>
      <c r="AL47" s="32">
        <f t="shared" si="20"/>
        <v>1159.6934182128907</v>
      </c>
      <c r="AM47" s="102">
        <f t="shared" si="18"/>
        <v>2.5000000000000001E-2</v>
      </c>
      <c r="AN47" s="32">
        <f t="shared" si="21"/>
        <v>28.992335455322269</v>
      </c>
      <c r="AO47" s="48"/>
      <c r="AQ47" s="48"/>
      <c r="AV47" s="32"/>
    </row>
    <row r="48" spans="2:48" ht="16.5" thickBot="1" x14ac:dyDescent="0.3">
      <c r="B48" s="15">
        <v>45</v>
      </c>
      <c r="C48" s="16">
        <f t="shared" si="13"/>
        <v>46076</v>
      </c>
      <c r="D48" s="17">
        <f t="shared" si="5"/>
        <v>2026</v>
      </c>
      <c r="E48" s="18">
        <f t="shared" si="14"/>
        <v>2204.0600000000004</v>
      </c>
      <c r="F48" s="18">
        <v>25.11</v>
      </c>
      <c r="G48" s="19">
        <f t="shared" si="6"/>
        <v>1.1392611816375232E-2</v>
      </c>
      <c r="H48" s="18">
        <f t="shared" si="17"/>
        <v>0</v>
      </c>
      <c r="I48" s="18">
        <f t="shared" si="7"/>
        <v>2229.1700000000005</v>
      </c>
      <c r="K48" s="18">
        <f t="shared" si="19"/>
        <v>59.088443642466217</v>
      </c>
      <c r="L48" s="19">
        <v>2.5000000000000001E-2</v>
      </c>
      <c r="M48" s="18">
        <f t="shared" si="8"/>
        <v>0</v>
      </c>
      <c r="N48" s="18">
        <f t="shared" si="15"/>
        <v>2422.6261893411147</v>
      </c>
      <c r="P48" s="20">
        <f t="shared" si="16"/>
        <v>3023.28</v>
      </c>
      <c r="Q48" s="59">
        <v>-1300</v>
      </c>
      <c r="R48" s="22">
        <f t="shared" si="9"/>
        <v>-0.42999656002751974</v>
      </c>
      <c r="S48" s="18">
        <f t="shared" si="22"/>
        <v>0</v>
      </c>
      <c r="T48" s="18">
        <f t="shared" si="10"/>
        <v>1723.2800000000002</v>
      </c>
      <c r="U48" s="41">
        <f>IF(SUM($U$4:U47)=1,0,IF(SUM($Q$4:Q48)&gt;39891.29,1,0))</f>
        <v>0</v>
      </c>
      <c r="V48" s="23">
        <f t="shared" ca="1" si="0"/>
        <v>-505.89000000000033</v>
      </c>
      <c r="W48" s="23">
        <f t="shared" ca="1" si="11"/>
        <v>-699.3461893411145</v>
      </c>
      <c r="X48" s="23">
        <f>IF(Q48=0,0,SUM($Q$41:Q48))</f>
        <v>393.33999999999992</v>
      </c>
      <c r="Y48" s="50">
        <f>IF(Q48=0,Y47,COUNTIF($Q$41:Q48,"&gt;0")/COUNTIF($Q$41:Q48,"&lt;&gt;0"))</f>
        <v>0.75</v>
      </c>
      <c r="AA48" s="51">
        <f t="shared" si="12"/>
        <v>-0.42999656002751974</v>
      </c>
      <c r="AB48" s="51">
        <f t="shared" si="1"/>
        <v>-0.64302637892060599</v>
      </c>
      <c r="AC48" s="52">
        <v>2021.69</v>
      </c>
      <c r="AD48" s="52">
        <v>0</v>
      </c>
      <c r="AE48" s="51">
        <f t="shared" si="2"/>
        <v>0.66870749649387418</v>
      </c>
      <c r="AF48" s="53">
        <f t="shared" ca="1" si="3"/>
        <v>0</v>
      </c>
      <c r="AG48" s="54" t="str">
        <f t="shared" ca="1" si="4"/>
        <v>-</v>
      </c>
      <c r="AH48" s="52">
        <v>87.66</v>
      </c>
      <c r="AI48" s="28" t="s">
        <v>37</v>
      </c>
      <c r="AJ48" s="55"/>
      <c r="AL48" s="32">
        <f t="shared" si="20"/>
        <v>1188.685753668213</v>
      </c>
      <c r="AM48" s="102">
        <f t="shared" si="18"/>
        <v>2.5000000000000001E-2</v>
      </c>
      <c r="AN48" s="32">
        <f t="shared" si="21"/>
        <v>29.717143841705326</v>
      </c>
      <c r="AO48" s="67"/>
      <c r="AQ48" s="48"/>
      <c r="AV48" s="32"/>
    </row>
    <row r="49" spans="2:48" ht="16.5" thickBot="1" x14ac:dyDescent="0.3">
      <c r="B49" s="33">
        <v>46</v>
      </c>
      <c r="C49" s="34">
        <f t="shared" si="13"/>
        <v>46083</v>
      </c>
      <c r="D49" s="35">
        <f t="shared" si="5"/>
        <v>2026</v>
      </c>
      <c r="E49" s="36">
        <f t="shared" si="14"/>
        <v>2229.1700000000005</v>
      </c>
      <c r="F49" s="36">
        <v>25.87</v>
      </c>
      <c r="G49" s="37">
        <f t="shared" si="6"/>
        <v>1.1605216291265357E-2</v>
      </c>
      <c r="H49" s="36">
        <f t="shared" si="17"/>
        <v>100</v>
      </c>
      <c r="I49" s="36">
        <f t="shared" si="7"/>
        <v>2355.0400000000004</v>
      </c>
      <c r="K49" s="36">
        <f t="shared" si="19"/>
        <v>60.565654733527872</v>
      </c>
      <c r="L49" s="37">
        <v>2.5000000000000001E-2</v>
      </c>
      <c r="M49" s="36">
        <f t="shared" si="8"/>
        <v>100</v>
      </c>
      <c r="N49" s="36">
        <f t="shared" si="15"/>
        <v>2583.1918440746426</v>
      </c>
      <c r="P49" s="38">
        <f t="shared" si="16"/>
        <v>1723.2800000000002</v>
      </c>
      <c r="Q49" s="56">
        <v>69.94</v>
      </c>
      <c r="R49" s="40">
        <f t="shared" si="9"/>
        <v>4.058539529269764E-2</v>
      </c>
      <c r="S49" s="36">
        <f t="shared" si="22"/>
        <v>100</v>
      </c>
      <c r="T49" s="36">
        <f t="shared" si="10"/>
        <v>1893.2200000000003</v>
      </c>
      <c r="U49" s="41">
        <f>IF(SUM($U$4:U48)=1,0,IF(SUM($Q$4:Q49)&gt;39891.29,1,0))</f>
        <v>0</v>
      </c>
      <c r="V49" s="36">
        <f t="shared" ca="1" si="0"/>
        <v>-461.82000000000016</v>
      </c>
      <c r="W49" s="36">
        <f t="shared" ca="1" si="11"/>
        <v>-689.97184407464238</v>
      </c>
      <c r="X49" s="36">
        <f>IF(Q49=0,0,SUM($Q$41:Q49))</f>
        <v>463.27999999999992</v>
      </c>
      <c r="Y49" s="37">
        <f>IF(Q49=0,Y48,COUNTIF($Q$41:Q49,"&gt;0")/COUNTIF($Q$41:Q49,"&lt;&gt;0"))</f>
        <v>0.77777777777777779</v>
      </c>
      <c r="AA49" s="42">
        <f t="shared" si="12"/>
        <v>4.058539529269764E-2</v>
      </c>
      <c r="AB49" s="42">
        <f t="shared" si="1"/>
        <v>0.15930574220440516</v>
      </c>
      <c r="AC49" s="43">
        <v>439.03</v>
      </c>
      <c r="AD49" s="43">
        <v>0</v>
      </c>
      <c r="AE49" s="42">
        <f t="shared" si="2"/>
        <v>0.25476417065131607</v>
      </c>
      <c r="AF49" s="44">
        <f t="shared" ca="1" si="3"/>
        <v>0</v>
      </c>
      <c r="AG49" s="45" t="str">
        <f t="shared" ca="1" si="4"/>
        <v>-</v>
      </c>
      <c r="AH49" s="43">
        <v>2.0699999999999998</v>
      </c>
      <c r="AI49" s="46" t="s">
        <v>38</v>
      </c>
      <c r="AJ49" s="47"/>
      <c r="AL49" s="32">
        <f t="shared" si="20"/>
        <v>1218.4028975099184</v>
      </c>
      <c r="AM49" s="102">
        <f t="shared" si="18"/>
        <v>2.5000000000000001E-2</v>
      </c>
      <c r="AN49" s="32">
        <f t="shared" si="21"/>
        <v>30.460072437747961</v>
      </c>
      <c r="AO49" s="48"/>
      <c r="AQ49" s="48"/>
      <c r="AV49" s="32"/>
    </row>
    <row r="50" spans="2:48" ht="16.5" thickBot="1" x14ac:dyDescent="0.3">
      <c r="B50" s="15">
        <v>47</v>
      </c>
      <c r="C50" s="105">
        <f t="shared" si="13"/>
        <v>46090</v>
      </c>
      <c r="D50" s="17">
        <f t="shared" si="5"/>
        <v>2026</v>
      </c>
      <c r="E50" s="18">
        <f t="shared" si="14"/>
        <v>2355.0400000000004</v>
      </c>
      <c r="F50" s="18">
        <v>26.64</v>
      </c>
      <c r="G50" s="19">
        <f t="shared" si="6"/>
        <v>1.1311909776479379E-2</v>
      </c>
      <c r="H50" s="18">
        <f t="shared" si="17"/>
        <v>0</v>
      </c>
      <c r="I50" s="18">
        <f t="shared" si="7"/>
        <v>2381.6800000000003</v>
      </c>
      <c r="K50" s="18">
        <f t="shared" si="19"/>
        <v>64.579796101866066</v>
      </c>
      <c r="L50" s="19">
        <v>2.5000000000000001E-2</v>
      </c>
      <c r="M50" s="18">
        <f t="shared" si="8"/>
        <v>0</v>
      </c>
      <c r="N50" s="18">
        <f t="shared" si="15"/>
        <v>2647.7716401765088</v>
      </c>
      <c r="P50" s="20">
        <f t="shared" si="16"/>
        <v>1893.2200000000003</v>
      </c>
      <c r="Q50" s="59">
        <v>-115.47</v>
      </c>
      <c r="R50" s="22">
        <f t="shared" si="9"/>
        <v>-6.099132694562702E-2</v>
      </c>
      <c r="S50" s="18">
        <f t="shared" si="22"/>
        <v>0</v>
      </c>
      <c r="T50" s="18">
        <f t="shared" si="10"/>
        <v>1777.7500000000002</v>
      </c>
      <c r="U50" s="41">
        <f>IF(SUM($U$4:U49)=1,0,IF(SUM($Q$4:Q50)&gt;39891.29,1,0))</f>
        <v>0</v>
      </c>
      <c r="V50" s="23">
        <f t="shared" ca="1" si="0"/>
        <v>-603.93000000000006</v>
      </c>
      <c r="W50" s="23">
        <f t="shared" ca="1" si="11"/>
        <v>-870.02164017650853</v>
      </c>
      <c r="X50" s="23">
        <f>IF(Q50=0,0,SUM($Q$41:Q50))</f>
        <v>347.80999999999995</v>
      </c>
      <c r="Y50" s="50">
        <f>IF(Q50=0,Y49,COUNTIF($Q$41:Q50,"&gt;0")/COUNTIF($Q$41:Q50,"&lt;&gt;0"))</f>
        <v>0.7</v>
      </c>
      <c r="AA50" s="51">
        <f t="shared" si="12"/>
        <v>-6.099132694562702E-2</v>
      </c>
      <c r="AB50" s="51">
        <f t="shared" si="1"/>
        <v>-0.50709235431030697</v>
      </c>
      <c r="AC50" s="52">
        <v>227.71</v>
      </c>
      <c r="AD50" s="52">
        <v>0</v>
      </c>
      <c r="AE50" s="51">
        <f t="shared" si="2"/>
        <v>0.12027656585077275</v>
      </c>
      <c r="AF50" s="53">
        <f t="shared" ca="1" si="3"/>
        <v>0</v>
      </c>
      <c r="AG50" s="54" t="str">
        <f t="shared" ca="1" si="4"/>
        <v>-</v>
      </c>
      <c r="AH50" s="52">
        <v>15.47</v>
      </c>
      <c r="AI50" s="28" t="s">
        <v>39</v>
      </c>
      <c r="AJ50" s="55"/>
      <c r="AL50" s="32">
        <f t="shared" si="20"/>
        <v>1248.8629699476664</v>
      </c>
      <c r="AM50" s="102">
        <f t="shared" si="18"/>
        <v>2.5000000000000001E-2</v>
      </c>
      <c r="AN50" s="32">
        <f t="shared" si="21"/>
        <v>31.221574248691663</v>
      </c>
      <c r="AO50" s="67"/>
      <c r="AQ50" s="48"/>
      <c r="AV50" s="32"/>
    </row>
    <row r="51" spans="2:48" ht="16.5" thickBot="1" x14ac:dyDescent="0.3">
      <c r="B51" s="33">
        <v>48</v>
      </c>
      <c r="C51" s="34">
        <f t="shared" si="13"/>
        <v>46097</v>
      </c>
      <c r="D51" s="35">
        <f t="shared" si="5"/>
        <v>2026</v>
      </c>
      <c r="E51" s="36">
        <f t="shared" si="14"/>
        <v>2381.6800000000003</v>
      </c>
      <c r="F51" s="36">
        <v>27.44</v>
      </c>
      <c r="G51" s="37">
        <f t="shared" si="6"/>
        <v>1.1521279097107923E-2</v>
      </c>
      <c r="H51" s="36">
        <f t="shared" si="17"/>
        <v>100</v>
      </c>
      <c r="I51" s="36">
        <f t="shared" si="7"/>
        <v>2509.1200000000003</v>
      </c>
      <c r="K51" s="36">
        <f t="shared" si="19"/>
        <v>66.194291004412719</v>
      </c>
      <c r="L51" s="37">
        <v>2.5000000000000001E-2</v>
      </c>
      <c r="M51" s="36">
        <f t="shared" si="8"/>
        <v>100</v>
      </c>
      <c r="N51" s="36">
        <f t="shared" si="15"/>
        <v>2813.9659311809214</v>
      </c>
      <c r="P51" s="38">
        <f t="shared" si="16"/>
        <v>1777.7500000000002</v>
      </c>
      <c r="Q51" s="56">
        <v>-1142.06</v>
      </c>
      <c r="R51" s="40">
        <f t="shared" si="9"/>
        <v>-0.64241878779355921</v>
      </c>
      <c r="S51" s="36">
        <f t="shared" si="22"/>
        <v>100</v>
      </c>
      <c r="T51" s="36">
        <f t="shared" si="10"/>
        <v>735.69000000000028</v>
      </c>
      <c r="U51" s="41">
        <f>IF(SUM($U$4:U50)=1,0,IF(SUM($Q$4:Q51)&gt;39891.29,1,0))</f>
        <v>0</v>
      </c>
      <c r="V51" s="36">
        <f t="shared" ca="1" si="0"/>
        <v>-1773.43</v>
      </c>
      <c r="W51" s="36">
        <f t="shared" ca="1" si="11"/>
        <v>-2078.2759311809214</v>
      </c>
      <c r="X51" s="36">
        <f>IF(Q51=0,0,SUM($Q$41:Q51))</f>
        <v>-794.25</v>
      </c>
      <c r="Y51" s="37">
        <f>IF(Q51=0,Y50,COUNTIF($Q$41:Q51,"&gt;0")/COUNTIF($Q$41:Q51,"&lt;&gt;0"))</f>
        <v>0.63636363636363635</v>
      </c>
      <c r="AA51" s="42">
        <f t="shared" si="12"/>
        <v>-0.64241878779355921</v>
      </c>
      <c r="AB51" s="42">
        <f t="shared" si="1"/>
        <v>-0.67214397956601313</v>
      </c>
      <c r="AC51" s="43">
        <v>1699.13</v>
      </c>
      <c r="AD51" s="43">
        <v>0</v>
      </c>
      <c r="AE51" s="42">
        <f t="shared" si="2"/>
        <v>0.95577555899310918</v>
      </c>
      <c r="AF51" s="44">
        <f t="shared" ca="1" si="3"/>
        <v>0</v>
      </c>
      <c r="AG51" s="45" t="str">
        <f t="shared" ca="1" si="4"/>
        <v>-</v>
      </c>
      <c r="AH51" s="43">
        <v>36.06</v>
      </c>
      <c r="AI51" s="46" t="s">
        <v>40</v>
      </c>
      <c r="AJ51" s="47"/>
      <c r="AL51" s="32">
        <f t="shared" si="20"/>
        <v>1280.0845441963581</v>
      </c>
      <c r="AM51" s="102">
        <f t="shared" si="18"/>
        <v>2.5000000000000001E-2</v>
      </c>
      <c r="AN51" s="32">
        <f t="shared" si="21"/>
        <v>32.002113604908956</v>
      </c>
      <c r="AO51" s="48"/>
      <c r="AQ51" s="48"/>
      <c r="AV51" s="32"/>
    </row>
    <row r="52" spans="2:48" ht="16.5" thickBot="1" x14ac:dyDescent="0.3">
      <c r="B52" s="15">
        <v>49</v>
      </c>
      <c r="C52" s="16">
        <f t="shared" si="13"/>
        <v>46104</v>
      </c>
      <c r="D52" s="17">
        <f t="shared" si="5"/>
        <v>2026</v>
      </c>
      <c r="E52" s="18">
        <f t="shared" si="14"/>
        <v>2509.1200000000003</v>
      </c>
      <c r="F52" s="18">
        <v>28.26</v>
      </c>
      <c r="G52" s="19">
        <f t="shared" si="6"/>
        <v>1.1262912893763549E-2</v>
      </c>
      <c r="H52" s="18">
        <f t="shared" si="17"/>
        <v>0</v>
      </c>
      <c r="I52" s="18">
        <f t="shared" si="7"/>
        <v>2537.3800000000006</v>
      </c>
      <c r="K52" s="18">
        <f t="shared" si="19"/>
        <v>70.349148279523035</v>
      </c>
      <c r="L52" s="19">
        <v>2.5000000000000001E-2</v>
      </c>
      <c r="M52" s="18">
        <f t="shared" si="8"/>
        <v>0</v>
      </c>
      <c r="N52" s="18">
        <f t="shared" si="15"/>
        <v>2884.3150794604444</v>
      </c>
      <c r="P52" s="20">
        <f t="shared" si="16"/>
        <v>735.69000000000028</v>
      </c>
      <c r="Q52" s="59">
        <v>198.74</v>
      </c>
      <c r="R52" s="22">
        <f t="shared" si="9"/>
        <v>0.27014095610923072</v>
      </c>
      <c r="S52" s="18">
        <f t="shared" si="22"/>
        <v>0</v>
      </c>
      <c r="T52" s="18">
        <f t="shared" si="10"/>
        <v>934.43000000000029</v>
      </c>
      <c r="U52" s="41">
        <f>IF(SUM($U$4:U51)=1,0,IF(SUM($Q$4:Q52)&gt;39891.29,1,0))</f>
        <v>0</v>
      </c>
      <c r="V52" s="23">
        <f t="shared" ca="1" si="0"/>
        <v>-1602.9500000000003</v>
      </c>
      <c r="W52" s="23">
        <f t="shared" ca="1" si="11"/>
        <v>-1949.8850794604441</v>
      </c>
      <c r="X52" s="23">
        <f>IF(Q52=0,0,SUM($Q$41:Q52))</f>
        <v>-595.51</v>
      </c>
      <c r="Y52" s="50">
        <f>IF(Q52=0,Y51,COUNTIF($Q$41:Q52,"&gt;0")/COUNTIF($Q$41:Q52,"&lt;&gt;0"))</f>
        <v>0.66666666666666663</v>
      </c>
      <c r="AA52" s="51">
        <f t="shared" si="12"/>
        <v>0.27014095610923072</v>
      </c>
      <c r="AB52" s="51">
        <f t="shared" si="1"/>
        <v>0.18392315095876213</v>
      </c>
      <c r="AC52" s="52">
        <v>1080.56</v>
      </c>
      <c r="AD52" s="52">
        <v>0</v>
      </c>
      <c r="AE52" s="51">
        <f t="shared" si="2"/>
        <v>1.4687708137938527</v>
      </c>
      <c r="AF52" s="53">
        <f t="shared" ca="1" si="3"/>
        <v>0</v>
      </c>
      <c r="AG52" s="54" t="str">
        <f t="shared" ca="1" si="4"/>
        <v>-</v>
      </c>
      <c r="AH52" s="52">
        <v>41.26</v>
      </c>
      <c r="AI52" s="28" t="s">
        <v>24</v>
      </c>
      <c r="AJ52" s="55"/>
      <c r="AL52" s="32">
        <f t="shared" si="20"/>
        <v>1312.0866578012672</v>
      </c>
      <c r="AM52" s="102">
        <f t="shared" si="18"/>
        <v>2.5000000000000001E-2</v>
      </c>
      <c r="AN52" s="32">
        <f t="shared" si="21"/>
        <v>32.802166445031681</v>
      </c>
      <c r="AQ52" s="48"/>
      <c r="AV52" s="32"/>
    </row>
    <row r="53" spans="2:48" ht="16.5" thickBot="1" x14ac:dyDescent="0.3">
      <c r="B53" s="33">
        <v>50</v>
      </c>
      <c r="C53" s="34">
        <f t="shared" si="13"/>
        <v>46111</v>
      </c>
      <c r="D53" s="35">
        <f t="shared" si="5"/>
        <v>2026</v>
      </c>
      <c r="E53" s="36">
        <f t="shared" si="14"/>
        <v>2537.3800000000006</v>
      </c>
      <c r="F53" s="36">
        <v>29.11</v>
      </c>
      <c r="G53" s="37">
        <f t="shared" si="6"/>
        <v>1.1472463722422338E-2</v>
      </c>
      <c r="H53" s="36">
        <f t="shared" si="17"/>
        <v>100</v>
      </c>
      <c r="I53" s="36">
        <f t="shared" si="7"/>
        <v>2666.4900000000007</v>
      </c>
      <c r="K53" s="36">
        <f t="shared" si="19"/>
        <v>72.107876986511116</v>
      </c>
      <c r="L53" s="37">
        <v>2.5000000000000001E-2</v>
      </c>
      <c r="M53" s="36">
        <f t="shared" si="8"/>
        <v>100</v>
      </c>
      <c r="N53" s="36">
        <f t="shared" si="15"/>
        <v>3056.4229564469556</v>
      </c>
      <c r="P53" s="38">
        <f t="shared" si="16"/>
        <v>934.43000000000029</v>
      </c>
      <c r="Q53" s="56">
        <v>63.5</v>
      </c>
      <c r="R53" s="40">
        <f t="shared" si="9"/>
        <v>6.7955866142996244E-2</v>
      </c>
      <c r="S53" s="36">
        <f t="shared" si="22"/>
        <v>100</v>
      </c>
      <c r="T53" s="36">
        <f t="shared" si="10"/>
        <v>1097.9300000000003</v>
      </c>
      <c r="U53" s="41">
        <f>IF(SUM($U$4:U52)=1,0,IF(SUM($Q$4:Q53)&gt;39891.29,1,0))</f>
        <v>0</v>
      </c>
      <c r="V53" s="36">
        <f t="shared" ca="1" si="0"/>
        <v>-1568.5600000000004</v>
      </c>
      <c r="W53" s="36">
        <f t="shared" ca="1" si="11"/>
        <v>-1958.4929564469553</v>
      </c>
      <c r="X53" s="36">
        <f>IF(Q53=0,0,SUM($Q$41:Q53))</f>
        <v>-532.01</v>
      </c>
      <c r="Y53" s="37">
        <f>IF(Q53=0,Y52,COUNTIF($Q$41:Q53,"&gt;0")/COUNTIF($Q$41:Q53,"&lt;&gt;0"))</f>
        <v>0.69230769230769229</v>
      </c>
      <c r="AA53" s="42">
        <f t="shared" si="12"/>
        <v>6.7955866142996244E-2</v>
      </c>
      <c r="AB53" s="42">
        <f t="shared" si="1"/>
        <v>6.9046505811867304E-2</v>
      </c>
      <c r="AC53" s="43">
        <v>919.67</v>
      </c>
      <c r="AD53" s="43">
        <v>0</v>
      </c>
      <c r="AE53" s="42">
        <f t="shared" si="2"/>
        <v>0.98420427426345436</v>
      </c>
      <c r="AF53" s="44">
        <f t="shared" ca="1" si="3"/>
        <v>0</v>
      </c>
      <c r="AG53" s="45" t="str">
        <f t="shared" ca="1" si="4"/>
        <v>-</v>
      </c>
      <c r="AH53" s="43">
        <v>49.5</v>
      </c>
      <c r="AI53" s="46" t="s">
        <v>24</v>
      </c>
      <c r="AJ53" s="47"/>
      <c r="AL53" s="32">
        <f t="shared" si="20"/>
        <v>1344.8888242462988</v>
      </c>
      <c r="AM53" s="102">
        <f t="shared" si="18"/>
        <v>2.5000000000000001E-2</v>
      </c>
      <c r="AN53" s="32">
        <f t="shared" si="21"/>
        <v>33.62222060615747</v>
      </c>
      <c r="AO53" s="48"/>
      <c r="AQ53" s="48"/>
      <c r="AV53" s="32"/>
    </row>
    <row r="54" spans="2:48" ht="16.5" thickBot="1" x14ac:dyDescent="0.3">
      <c r="B54" s="15">
        <v>51</v>
      </c>
      <c r="C54" s="16">
        <f t="shared" si="13"/>
        <v>46118</v>
      </c>
      <c r="D54" s="17">
        <f t="shared" si="5"/>
        <v>2026</v>
      </c>
      <c r="E54" s="18">
        <f t="shared" si="14"/>
        <v>2666.4900000000007</v>
      </c>
      <c r="F54" s="18">
        <v>29.99</v>
      </c>
      <c r="G54" s="19">
        <f t="shared" si="6"/>
        <v>1.1246995113426261E-2</v>
      </c>
      <c r="H54" s="18">
        <f t="shared" si="17"/>
        <v>0</v>
      </c>
      <c r="I54" s="18">
        <f t="shared" si="7"/>
        <v>2696.4800000000005</v>
      </c>
      <c r="K54" s="18">
        <f t="shared" si="19"/>
        <v>76.410573911173898</v>
      </c>
      <c r="L54" s="19">
        <v>2.5000000000000001E-2</v>
      </c>
      <c r="M54" s="18">
        <f t="shared" si="8"/>
        <v>0</v>
      </c>
      <c r="N54" s="18">
        <f t="shared" si="15"/>
        <v>3132.8335303581293</v>
      </c>
      <c r="P54" s="20">
        <f t="shared" si="16"/>
        <v>1097.9300000000003</v>
      </c>
      <c r="Q54" s="59">
        <v>167.35</v>
      </c>
      <c r="R54" s="22">
        <f t="shared" si="9"/>
        <v>0.15242319637863977</v>
      </c>
      <c r="S54" s="18">
        <f t="shared" si="22"/>
        <v>0</v>
      </c>
      <c r="T54" s="18">
        <f t="shared" si="10"/>
        <v>1265.2800000000002</v>
      </c>
      <c r="U54" s="41">
        <f>IF(SUM($U$4:U53)=1,0,IF(SUM($Q$4:Q54)&gt;39891.29,1,0))</f>
        <v>0</v>
      </c>
      <c r="V54" s="23">
        <f t="shared" ca="1" si="0"/>
        <v>-1431.2000000000003</v>
      </c>
      <c r="W54" s="23">
        <f t="shared" ca="1" si="11"/>
        <v>-1867.5535303581291</v>
      </c>
      <c r="X54" s="23">
        <f>IF(Q54=0,0,SUM($Q$41:Q54))</f>
        <v>-364.65999999999997</v>
      </c>
      <c r="Y54" s="50">
        <f>IF(Q54=0,Y53,COUNTIF($Q$41:Q54,"&gt;0")/COUNTIF($Q$41:Q54,"&lt;&gt;0"))</f>
        <v>0.7142857142857143</v>
      </c>
      <c r="AA54" s="51">
        <f t="shared" si="12"/>
        <v>0.15242319637863977</v>
      </c>
      <c r="AB54" s="51">
        <f t="shared" si="1"/>
        <v>0.15753850208984449</v>
      </c>
      <c r="AC54" s="52">
        <v>1062.28</v>
      </c>
      <c r="AD54" s="52">
        <v>0</v>
      </c>
      <c r="AE54" s="51">
        <f t="shared" si="2"/>
        <v>0.96752980608964112</v>
      </c>
      <c r="AF54" s="53">
        <f t="shared" ca="1" si="3"/>
        <v>0</v>
      </c>
      <c r="AG54" s="54" t="str">
        <f t="shared" ca="1" si="4"/>
        <v>-</v>
      </c>
      <c r="AH54" s="52">
        <v>20.66</v>
      </c>
      <c r="AI54" s="28" t="s">
        <v>24</v>
      </c>
      <c r="AJ54" s="55"/>
      <c r="AL54" s="32">
        <f t="shared" si="20"/>
        <v>1378.5110448524563</v>
      </c>
      <c r="AM54" s="102">
        <f t="shared" si="18"/>
        <v>2.5000000000000001E-2</v>
      </c>
      <c r="AN54" s="32">
        <f t="shared" si="21"/>
        <v>34.462776121311407</v>
      </c>
      <c r="AO54" s="67"/>
      <c r="AQ54" s="48"/>
      <c r="AV54" s="32"/>
    </row>
    <row r="55" spans="2:48" ht="16.5" thickBot="1" x14ac:dyDescent="0.3">
      <c r="B55" s="33">
        <v>52</v>
      </c>
      <c r="C55" s="34">
        <f t="shared" si="13"/>
        <v>46125</v>
      </c>
      <c r="D55" s="35">
        <f t="shared" si="5"/>
        <v>2026</v>
      </c>
      <c r="E55" s="36">
        <f t="shared" si="14"/>
        <v>2696.4800000000005</v>
      </c>
      <c r="F55" s="36">
        <v>30.89</v>
      </c>
      <c r="G55" s="37">
        <f t="shared" si="6"/>
        <v>1.1455675547380287E-2</v>
      </c>
      <c r="H55" s="36">
        <f t="shared" si="17"/>
        <v>100</v>
      </c>
      <c r="I55" s="36">
        <f t="shared" si="7"/>
        <v>2827.3700000000003</v>
      </c>
      <c r="K55" s="36">
        <f t="shared" si="19"/>
        <v>78.320838258953245</v>
      </c>
      <c r="L55" s="37">
        <v>2.5000000000000001E-2</v>
      </c>
      <c r="M55" s="36">
        <f t="shared" si="8"/>
        <v>100</v>
      </c>
      <c r="N55" s="36">
        <f t="shared" si="15"/>
        <v>3311.1543686170826</v>
      </c>
      <c r="P55" s="38">
        <f t="shared" si="16"/>
        <v>1265.2800000000002</v>
      </c>
      <c r="Q55" s="56">
        <v>113.24</v>
      </c>
      <c r="R55" s="40">
        <f t="shared" si="9"/>
        <v>8.9497976732422851E-2</v>
      </c>
      <c r="S55" s="36">
        <f t="shared" si="22"/>
        <v>100</v>
      </c>
      <c r="T55" s="36">
        <f t="shared" si="10"/>
        <v>1478.5200000000002</v>
      </c>
      <c r="U55" s="41">
        <f>IF(SUM($U$4:U54)=1,0,IF(SUM($Q$4:Q55)&gt;39891.29,1,0))</f>
        <v>0</v>
      </c>
      <c r="V55" s="36">
        <f t="shared" ca="1" si="0"/>
        <v>-1348.8500000000001</v>
      </c>
      <c r="W55" s="36">
        <f t="shared" ca="1" si="11"/>
        <v>-1832.6343686170824</v>
      </c>
      <c r="X55" s="36">
        <f>IF(Q55=0,0,SUM($Q$41:Q55))</f>
        <v>-251.41999999999996</v>
      </c>
      <c r="Y55" s="37">
        <f>IF(Q55=0,Y54,COUNTIF($Q$41:Q55,"&gt;0")/COUNTIF($Q$41:Q55,"&lt;&gt;0"))</f>
        <v>0.73333333333333328</v>
      </c>
      <c r="AA55" s="42">
        <f t="shared" si="12"/>
        <v>8.9497976732422851E-2</v>
      </c>
      <c r="AB55" s="42">
        <f t="shared" si="1"/>
        <v>9.0362839838170395E-2</v>
      </c>
      <c r="AC55" s="43">
        <v>1253.17</v>
      </c>
      <c r="AD55" s="43">
        <v>0</v>
      </c>
      <c r="AE55" s="42">
        <f t="shared" si="2"/>
        <v>0.99042899595346479</v>
      </c>
      <c r="AF55" s="44">
        <f t="shared" ca="1" si="3"/>
        <v>0</v>
      </c>
      <c r="AG55" s="45" t="str">
        <f t="shared" ca="1" si="4"/>
        <v>-</v>
      </c>
      <c r="AH55" s="43">
        <v>122.76</v>
      </c>
      <c r="AI55" s="46" t="s">
        <v>24</v>
      </c>
      <c r="AJ55" s="47"/>
      <c r="AL55" s="32">
        <f t="shared" si="20"/>
        <v>1412.9738209737677</v>
      </c>
      <c r="AM55" s="102">
        <f t="shared" si="18"/>
        <v>2.5000000000000001E-2</v>
      </c>
      <c r="AN55" s="32">
        <f t="shared" si="21"/>
        <v>35.324345524344196</v>
      </c>
      <c r="AO55" s="48"/>
      <c r="AQ55" s="48"/>
      <c r="AV55" s="32"/>
    </row>
    <row r="56" spans="2:48" ht="16.5" thickBot="1" x14ac:dyDescent="0.3">
      <c r="B56" s="15">
        <v>53</v>
      </c>
      <c r="C56" s="16">
        <f t="shared" si="13"/>
        <v>46132</v>
      </c>
      <c r="D56" s="17">
        <f t="shared" si="5"/>
        <v>2026</v>
      </c>
      <c r="E56" s="18">
        <f t="shared" si="14"/>
        <v>2827.3700000000003</v>
      </c>
      <c r="F56" s="18">
        <v>31.81</v>
      </c>
      <c r="G56" s="19">
        <f t="shared" si="6"/>
        <v>1.1250738318649485E-2</v>
      </c>
      <c r="H56" s="18">
        <f t="shared" si="17"/>
        <v>200</v>
      </c>
      <c r="I56" s="18">
        <f t="shared" si="7"/>
        <v>3059.1800000000003</v>
      </c>
      <c r="K56" s="18">
        <f t="shared" si="19"/>
        <v>82.778859215427076</v>
      </c>
      <c r="L56" s="19">
        <v>2.5000000000000001E-2</v>
      </c>
      <c r="M56" s="18">
        <f t="shared" si="8"/>
        <v>200</v>
      </c>
      <c r="N56" s="18">
        <f t="shared" si="15"/>
        <v>3593.9332278325096</v>
      </c>
      <c r="P56" s="20">
        <f t="shared" si="16"/>
        <v>1478.5200000000002</v>
      </c>
      <c r="Q56" s="59">
        <v>0</v>
      </c>
      <c r="R56" s="22" t="str">
        <f t="shared" si="9"/>
        <v>-</v>
      </c>
      <c r="S56" s="18">
        <v>200</v>
      </c>
      <c r="T56" s="18">
        <f t="shared" si="10"/>
        <v>1678.5200000000002</v>
      </c>
      <c r="U56" s="41">
        <f>IF(SUM($U$4:U55)=1,0,IF(SUM($Q$4:Q56)&gt;39891.29,1,0))</f>
        <v>0</v>
      </c>
      <c r="V56" s="23">
        <f t="shared" ca="1" si="0"/>
        <v>-1380.66</v>
      </c>
      <c r="W56" s="23">
        <f t="shared" ca="1" si="11"/>
        <v>-1915.4132278325094</v>
      </c>
      <c r="X56" s="23">
        <f>IF(Q56=0,0,SUM($Q$41:Q56))</f>
        <v>0</v>
      </c>
      <c r="Y56" s="50">
        <f>IF(Q56=0,Y55,COUNTIF($Q$41:Q56,"&gt;0")/COUNTIF($Q$41:Q56,"&lt;&gt;0"))</f>
        <v>0.73333333333333328</v>
      </c>
      <c r="AA56" s="51" t="str">
        <f t="shared" si="12"/>
        <v>-</v>
      </c>
      <c r="AB56" s="51" t="str">
        <f t="shared" si="1"/>
        <v>-</v>
      </c>
      <c r="AC56" s="52">
        <v>1677.45</v>
      </c>
      <c r="AD56" s="52">
        <v>0</v>
      </c>
      <c r="AE56" s="51">
        <f t="shared" si="2"/>
        <v>1.134546708871033</v>
      </c>
      <c r="AF56" s="53">
        <f t="shared" ca="1" si="3"/>
        <v>0</v>
      </c>
      <c r="AG56" s="54" t="str">
        <f t="shared" ca="1" si="4"/>
        <v>-</v>
      </c>
      <c r="AH56" s="52">
        <v>72.209999999999994</v>
      </c>
      <c r="AI56" s="28" t="s">
        <v>24</v>
      </c>
      <c r="AJ56" s="55"/>
      <c r="AL56" s="32">
        <f t="shared" si="20"/>
        <v>1448.2981664981119</v>
      </c>
      <c r="AM56" s="102">
        <f t="shared" si="18"/>
        <v>2.5000000000000001E-2</v>
      </c>
      <c r="AN56" s="32">
        <f t="shared" si="21"/>
        <v>36.207454162452798</v>
      </c>
      <c r="AO56" s="67"/>
      <c r="AV56" s="32"/>
    </row>
    <row r="57" spans="2:48" ht="16.5" thickBot="1" x14ac:dyDescent="0.3">
      <c r="B57" s="33">
        <v>54</v>
      </c>
      <c r="C57" s="34">
        <f t="shared" si="13"/>
        <v>46139</v>
      </c>
      <c r="D57" s="35">
        <f t="shared" si="5"/>
        <v>2026</v>
      </c>
      <c r="E57" s="36">
        <f t="shared" si="14"/>
        <v>3059.1800000000003</v>
      </c>
      <c r="F57" s="36">
        <v>32.770000000000003</v>
      </c>
      <c r="G57" s="37">
        <f t="shared" si="6"/>
        <v>1.0712020868337268E-2</v>
      </c>
      <c r="H57" s="36">
        <f t="shared" si="17"/>
        <v>100</v>
      </c>
      <c r="I57" s="36">
        <f t="shared" si="7"/>
        <v>3191.9500000000003</v>
      </c>
      <c r="K57" s="36">
        <f t="shared" si="19"/>
        <v>89.848330695812749</v>
      </c>
      <c r="L57" s="37">
        <v>2.5000000000000001E-2</v>
      </c>
      <c r="M57" s="36">
        <f t="shared" si="8"/>
        <v>100</v>
      </c>
      <c r="N57" s="36">
        <f t="shared" si="15"/>
        <v>3783.7815585283224</v>
      </c>
      <c r="P57" s="38">
        <f t="shared" si="16"/>
        <v>1678.5200000000002</v>
      </c>
      <c r="Q57" s="56">
        <v>-1647.18</v>
      </c>
      <c r="R57" s="40">
        <f t="shared" si="9"/>
        <v>-0.98132878964802317</v>
      </c>
      <c r="S57" s="36">
        <f t="shared" si="22"/>
        <v>100</v>
      </c>
      <c r="T57" s="36">
        <f t="shared" si="10"/>
        <v>131.34000000000015</v>
      </c>
      <c r="U57" s="41">
        <f>IF(SUM($U$4:U56)=1,0,IF(SUM($Q$4:Q57)&gt;39891.29,1,0))</f>
        <v>0</v>
      </c>
      <c r="V57" s="36">
        <f t="shared" ca="1" si="0"/>
        <v>-3060.61</v>
      </c>
      <c r="W57" s="36">
        <f t="shared" ca="1" si="11"/>
        <v>-3652.4415585283223</v>
      </c>
      <c r="X57" s="36">
        <f>IF(Q57=0,0,SUM($Q$41:Q57))</f>
        <v>-1898.6</v>
      </c>
      <c r="Y57" s="37">
        <f>IF(Q57=0,Y56,COUNTIF($Q$41:Q57,"&gt;0")/COUNTIF($Q$41:Q57,"&lt;&gt;0"))</f>
        <v>0.6875</v>
      </c>
      <c r="AA57" s="42">
        <f t="shared" si="12"/>
        <v>-0.98132878964802317</v>
      </c>
      <c r="AB57" s="42" t="str">
        <f t="shared" si="1"/>
        <v>-</v>
      </c>
      <c r="AC57" s="43">
        <v>0</v>
      </c>
      <c r="AD57" s="43">
        <v>0</v>
      </c>
      <c r="AE57" s="42" t="str">
        <f t="shared" si="2"/>
        <v>-</v>
      </c>
      <c r="AF57" s="44">
        <f t="shared" ca="1" si="3"/>
        <v>0</v>
      </c>
      <c r="AG57" s="45" t="str">
        <f t="shared" ca="1" si="4"/>
        <v>-</v>
      </c>
      <c r="AH57" s="43">
        <v>0</v>
      </c>
      <c r="AI57" s="46" t="s">
        <v>24</v>
      </c>
      <c r="AJ57" s="47"/>
      <c r="AL57" s="32">
        <f t="shared" si="20"/>
        <v>1484.5056206605648</v>
      </c>
      <c r="AM57" s="102">
        <f t="shared" si="18"/>
        <v>2.5000000000000001E-2</v>
      </c>
      <c r="AN57" s="32">
        <f t="shared" si="21"/>
        <v>37.112640516514119</v>
      </c>
      <c r="AO57" s="48"/>
      <c r="AV57" s="32"/>
    </row>
    <row r="58" spans="2:48" ht="16.5" thickBot="1" x14ac:dyDescent="0.3">
      <c r="B58" s="15">
        <v>55</v>
      </c>
      <c r="C58" s="16">
        <f t="shared" si="13"/>
        <v>46146</v>
      </c>
      <c r="D58" s="17">
        <f t="shared" si="5"/>
        <v>2026</v>
      </c>
      <c r="E58" s="18">
        <f t="shared" si="14"/>
        <v>3191.9500000000003</v>
      </c>
      <c r="F58" s="18">
        <v>33.75</v>
      </c>
      <c r="G58" s="19">
        <f t="shared" si="6"/>
        <v>1.0573473895267782E-2</v>
      </c>
      <c r="H58" s="18">
        <f t="shared" si="17"/>
        <v>0</v>
      </c>
      <c r="I58" s="18">
        <f t="shared" si="7"/>
        <v>3225.7000000000003</v>
      </c>
      <c r="K58" s="18">
        <f t="shared" si="19"/>
        <v>94.594538963208066</v>
      </c>
      <c r="L58" s="19">
        <v>2.5000000000000001E-2</v>
      </c>
      <c r="M58" s="18">
        <f t="shared" si="8"/>
        <v>0</v>
      </c>
      <c r="N58" s="18">
        <f t="shared" si="15"/>
        <v>3878.3760974915303</v>
      </c>
      <c r="P58" s="20">
        <f t="shared" si="16"/>
        <v>131.34000000000015</v>
      </c>
      <c r="Q58" s="59">
        <v>0</v>
      </c>
      <c r="R58" s="22" t="str">
        <f t="shared" si="9"/>
        <v>-</v>
      </c>
      <c r="S58" s="18">
        <v>0</v>
      </c>
      <c r="T58" s="18">
        <f t="shared" si="10"/>
        <v>131.34000000000015</v>
      </c>
      <c r="U58" s="41">
        <f>IF(SUM($U$4:U57)=1,0,IF(SUM($Q$4:Q58)&gt;39891.29,1,0))</f>
        <v>0</v>
      </c>
      <c r="V58" s="23">
        <f t="shared" ca="1" si="0"/>
        <v>-3094.36</v>
      </c>
      <c r="W58" s="23">
        <f t="shared" ca="1" si="11"/>
        <v>-3747.0360974915302</v>
      </c>
      <c r="X58" s="23">
        <f>IF(Q58=0,0,SUM($Q$41:Q58))</f>
        <v>0</v>
      </c>
      <c r="Y58" s="50">
        <f>IF(Q58=0,Y57,COUNTIF($Q$41:Q58,"&gt;0")/COUNTIF($Q$41:Q58,"&lt;&gt;0"))</f>
        <v>0.6875</v>
      </c>
      <c r="AA58" s="51" t="str">
        <f t="shared" si="12"/>
        <v>-</v>
      </c>
      <c r="AB58" s="51" t="str">
        <f t="shared" si="1"/>
        <v>-</v>
      </c>
      <c r="AC58" s="52">
        <v>0</v>
      </c>
      <c r="AD58" s="52">
        <v>0</v>
      </c>
      <c r="AE58" s="51" t="str">
        <f t="shared" si="2"/>
        <v>-</v>
      </c>
      <c r="AF58" s="53">
        <f t="shared" ca="1" si="3"/>
        <v>0</v>
      </c>
      <c r="AG58" s="54" t="str">
        <f t="shared" ca="1" si="4"/>
        <v>-</v>
      </c>
      <c r="AH58" s="52">
        <v>0</v>
      </c>
      <c r="AI58" s="28" t="s">
        <v>24</v>
      </c>
      <c r="AJ58" s="55"/>
      <c r="AL58" s="32">
        <f t="shared" si="20"/>
        <v>1521.6182611770789</v>
      </c>
      <c r="AM58" s="102">
        <f t="shared" si="18"/>
        <v>2.5000000000000001E-2</v>
      </c>
      <c r="AN58" s="32">
        <f t="shared" si="21"/>
        <v>38.040456529426976</v>
      </c>
      <c r="AO58" s="67"/>
      <c r="AV58" s="32"/>
    </row>
    <row r="59" spans="2:48" ht="16.5" thickBot="1" x14ac:dyDescent="0.3">
      <c r="B59" s="33">
        <v>56</v>
      </c>
      <c r="C59" s="34">
        <f t="shared" si="13"/>
        <v>46153</v>
      </c>
      <c r="D59" s="35">
        <f t="shared" si="5"/>
        <v>2026</v>
      </c>
      <c r="E59" s="36">
        <f t="shared" si="14"/>
        <v>3225.7000000000003</v>
      </c>
      <c r="F59" s="36">
        <v>34.76</v>
      </c>
      <c r="G59" s="37">
        <f t="shared" si="6"/>
        <v>1.0775955606535013E-2</v>
      </c>
      <c r="H59" s="36">
        <f t="shared" si="17"/>
        <v>100</v>
      </c>
      <c r="I59" s="36">
        <f t="shared" si="7"/>
        <v>3360.4600000000005</v>
      </c>
      <c r="K59" s="36">
        <f t="shared" si="19"/>
        <v>96.959402437288261</v>
      </c>
      <c r="L59" s="37">
        <v>2.5000000000000001E-2</v>
      </c>
      <c r="M59" s="36">
        <f t="shared" si="8"/>
        <v>100</v>
      </c>
      <c r="N59" s="36">
        <f t="shared" si="15"/>
        <v>4075.3354999288185</v>
      </c>
      <c r="P59" s="38">
        <f t="shared" si="16"/>
        <v>131.34000000000015</v>
      </c>
      <c r="Q59" s="56">
        <v>40.32</v>
      </c>
      <c r="R59" s="40">
        <f t="shared" si="9"/>
        <v>0.30698949291914085</v>
      </c>
      <c r="S59" s="36">
        <f t="shared" si="22"/>
        <v>100</v>
      </c>
      <c r="T59" s="36">
        <f t="shared" si="10"/>
        <v>271.66000000000014</v>
      </c>
      <c r="U59" s="41">
        <f>IF(SUM($U$4:U58)=1,0,IF(SUM($Q$4:Q59)&gt;39891.29,1,0))</f>
        <v>0</v>
      </c>
      <c r="V59" s="36">
        <f t="shared" ca="1" si="0"/>
        <v>-3088.8</v>
      </c>
      <c r="W59" s="36">
        <f t="shared" ca="1" si="11"/>
        <v>-3803.6754999288182</v>
      </c>
      <c r="X59" s="36">
        <f>IF(Q59=0,0,SUM($Q$41:Q59))</f>
        <v>-1858.28</v>
      </c>
      <c r="Y59" s="37">
        <f>IF(Q59=0,Y58,COUNTIF($Q$41:Q59,"&gt;0")/COUNTIF($Q$41:Q59,"&lt;&gt;0"))</f>
        <v>0.70588235294117652</v>
      </c>
      <c r="AA59" s="42">
        <f t="shared" si="12"/>
        <v>0.30698949291914085</v>
      </c>
      <c r="AB59" s="42">
        <f t="shared" si="1"/>
        <v>0.43118383060635224</v>
      </c>
      <c r="AC59" s="43">
        <v>93.51</v>
      </c>
      <c r="AD59" s="43">
        <v>0</v>
      </c>
      <c r="AE59" s="42">
        <f t="shared" si="2"/>
        <v>0.71196893558702534</v>
      </c>
      <c r="AF59" s="44">
        <f t="shared" ca="1" si="3"/>
        <v>0</v>
      </c>
      <c r="AG59" s="45" t="str">
        <f t="shared" ca="1" si="4"/>
        <v>-</v>
      </c>
      <c r="AH59" s="43">
        <v>1.03</v>
      </c>
      <c r="AI59" s="46" t="s">
        <v>24</v>
      </c>
      <c r="AJ59" s="47"/>
      <c r="AL59" s="32">
        <f t="shared" si="20"/>
        <v>1559.658717706506</v>
      </c>
      <c r="AM59" s="102">
        <f t="shared" si="18"/>
        <v>2.5000000000000001E-2</v>
      </c>
      <c r="AN59" s="32">
        <f t="shared" si="21"/>
        <v>38.991467942662652</v>
      </c>
      <c r="AO59" s="48"/>
      <c r="AV59" s="32"/>
    </row>
    <row r="60" spans="2:48" ht="16.5" thickBot="1" x14ac:dyDescent="0.3">
      <c r="B60" s="15">
        <v>57</v>
      </c>
      <c r="C60" s="16">
        <f t="shared" si="13"/>
        <v>46160</v>
      </c>
      <c r="D60" s="17">
        <f t="shared" si="5"/>
        <v>2026</v>
      </c>
      <c r="E60" s="18">
        <f t="shared" si="14"/>
        <v>3360.4600000000005</v>
      </c>
      <c r="F60" s="18">
        <v>35.799999999999997</v>
      </c>
      <c r="G60" s="19">
        <f t="shared" si="6"/>
        <v>1.0653303416794126E-2</v>
      </c>
      <c r="H60" s="18">
        <f t="shared" si="17"/>
        <v>0</v>
      </c>
      <c r="I60" s="18">
        <f t="shared" si="7"/>
        <v>3396.2600000000007</v>
      </c>
      <c r="K60" s="18">
        <f t="shared" si="19"/>
        <v>101.88338749822047</v>
      </c>
      <c r="L60" s="19">
        <v>2.5000000000000001E-2</v>
      </c>
      <c r="M60" s="18">
        <f t="shared" si="8"/>
        <v>0</v>
      </c>
      <c r="N60" s="18">
        <f t="shared" si="15"/>
        <v>4177.2188874270387</v>
      </c>
      <c r="P60" s="20">
        <f t="shared" si="16"/>
        <v>271.66000000000014</v>
      </c>
      <c r="Q60" s="59">
        <v>107.69</v>
      </c>
      <c r="R60" s="22">
        <f t="shared" si="9"/>
        <v>0.39641463594198612</v>
      </c>
      <c r="S60" s="18">
        <f t="shared" si="22"/>
        <v>0</v>
      </c>
      <c r="T60" s="18">
        <f t="shared" si="10"/>
        <v>379.35000000000014</v>
      </c>
      <c r="U60" s="41">
        <f>IF(SUM($U$4:U59)=1,0,IF(SUM($Q$4:Q60)&gt;39891.29,1,0))</f>
        <v>0</v>
      </c>
      <c r="V60" s="23">
        <f t="shared" ca="1" si="0"/>
        <v>-3016.9100000000008</v>
      </c>
      <c r="W60" s="23">
        <f t="shared" ca="1" si="11"/>
        <v>-3797.8688874270383</v>
      </c>
      <c r="X60" s="23">
        <f>IF(Q60=0,0,SUM($Q$41:Q60))</f>
        <v>-1750.59</v>
      </c>
      <c r="Y60" s="50">
        <f>IF(Q60=0,Y59,COUNTIF($Q$41:Q60,"&gt;0")/COUNTIF($Q$41:Q60,"&lt;&gt;0"))</f>
        <v>0.72222222222222221</v>
      </c>
      <c r="AA60" s="51">
        <f t="shared" si="12"/>
        <v>0.39641463594198612</v>
      </c>
      <c r="AB60" s="51">
        <f t="shared" si="1"/>
        <v>0.10158283967852696</v>
      </c>
      <c r="AC60" s="52">
        <v>1060.1199999999999</v>
      </c>
      <c r="AD60" s="52">
        <v>4</v>
      </c>
      <c r="AE60" s="51">
        <f t="shared" si="2"/>
        <v>3.9023779724655796</v>
      </c>
      <c r="AF60" s="53">
        <f t="shared" ca="1" si="3"/>
        <v>0</v>
      </c>
      <c r="AG60" s="54" t="str">
        <f t="shared" ca="1" si="4"/>
        <v>-</v>
      </c>
      <c r="AH60" s="52">
        <v>8.32</v>
      </c>
      <c r="AI60" s="28" t="s">
        <v>24</v>
      </c>
      <c r="AJ60" s="55"/>
      <c r="AL60" s="32">
        <f t="shared" si="20"/>
        <v>1598.6501856491686</v>
      </c>
      <c r="AM60" s="102">
        <f t="shared" si="18"/>
        <v>2.5000000000000001E-2</v>
      </c>
      <c r="AN60" s="32">
        <f t="shared" si="21"/>
        <v>39.96625464122922</v>
      </c>
      <c r="AO60" s="67"/>
      <c r="AV60" s="32"/>
    </row>
    <row r="61" spans="2:48" ht="16.5" thickBot="1" x14ac:dyDescent="0.3">
      <c r="B61" s="33">
        <v>58</v>
      </c>
      <c r="C61" s="34">
        <f t="shared" si="13"/>
        <v>46167</v>
      </c>
      <c r="D61" s="35">
        <f t="shared" si="5"/>
        <v>2026</v>
      </c>
      <c r="E61" s="36">
        <f t="shared" si="14"/>
        <v>3396.2600000000007</v>
      </c>
      <c r="F61" s="36">
        <v>36.880000000000003</v>
      </c>
      <c r="G61" s="37">
        <f t="shared" si="6"/>
        <v>1.0859003727629803E-2</v>
      </c>
      <c r="H61" s="36">
        <f t="shared" si="17"/>
        <v>100</v>
      </c>
      <c r="I61" s="36">
        <f t="shared" si="7"/>
        <v>3533.1400000000008</v>
      </c>
      <c r="K61" s="36">
        <f t="shared" si="19"/>
        <v>104.43047218567597</v>
      </c>
      <c r="L61" s="37">
        <v>2.5000000000000001E-2</v>
      </c>
      <c r="M61" s="36">
        <f t="shared" si="8"/>
        <v>100</v>
      </c>
      <c r="N61" s="36">
        <f t="shared" si="15"/>
        <v>4381.6493596127148</v>
      </c>
      <c r="P61" s="38">
        <f t="shared" si="16"/>
        <v>379.35000000000014</v>
      </c>
      <c r="Q61" s="56">
        <f>31.86+29.9+29.82+29.83</f>
        <v>121.41</v>
      </c>
      <c r="R61" s="40">
        <f t="shared" si="9"/>
        <v>0.32004744958481601</v>
      </c>
      <c r="S61" s="36">
        <f t="shared" si="22"/>
        <v>100</v>
      </c>
      <c r="T61" s="36">
        <f t="shared" si="10"/>
        <v>600.7600000000001</v>
      </c>
      <c r="U61" s="41">
        <f>IF(SUM($U$4:U60)=1,0,IF(SUM($Q$4:Q61)&gt;39891.29,1,0))</f>
        <v>0</v>
      </c>
      <c r="V61" s="36">
        <f t="shared" ca="1" si="0"/>
        <v>-2932.3800000000006</v>
      </c>
      <c r="W61" s="36">
        <f t="shared" ca="1" si="11"/>
        <v>-3780.8893596127145</v>
      </c>
      <c r="X61" s="36">
        <f>IF(Q61=0,0,SUM($Q$41:Q61))</f>
        <v>-1629.1799999999998</v>
      </c>
      <c r="Y61" s="37">
        <f>IF(Q61=0,Y60,COUNTIF($Q$41:Q61,"&gt;0")/COUNTIF($Q$41:Q61,"&lt;&gt;0"))</f>
        <v>0.73684210526315785</v>
      </c>
      <c r="AA61" s="42">
        <f>IF(IFERROR(Q61/P61,0)=0,"-",IFERROR(Q61/P61,0))</f>
        <v>0.32004744958481601</v>
      </c>
      <c r="AB61" s="42">
        <f t="shared" si="1"/>
        <v>7.5921108582005542E-2</v>
      </c>
      <c r="AC61" s="43">
        <v>1599.16</v>
      </c>
      <c r="AD61" s="43">
        <v>4</v>
      </c>
      <c r="AE61" s="42">
        <f t="shared" si="2"/>
        <v>4.2155265585870554</v>
      </c>
      <c r="AF61" s="44">
        <f t="shared" ca="1" si="3"/>
        <v>0</v>
      </c>
      <c r="AG61" s="45" t="str">
        <f t="shared" ca="1" si="4"/>
        <v>-</v>
      </c>
      <c r="AH61" s="43">
        <v>17.579999999999998</v>
      </c>
      <c r="AI61" s="46" t="s">
        <v>24</v>
      </c>
      <c r="AJ61" s="47"/>
      <c r="AL61" s="32">
        <f t="shared" si="20"/>
        <v>1638.6164402903978</v>
      </c>
      <c r="AM61" s="102">
        <f t="shared" si="18"/>
        <v>2.5000000000000001E-2</v>
      </c>
      <c r="AN61" s="32">
        <f t="shared" si="21"/>
        <v>40.965411007259945</v>
      </c>
      <c r="AO61" s="48"/>
      <c r="AV61" s="32"/>
    </row>
    <row r="62" spans="2:48" ht="16.5" thickBot="1" x14ac:dyDescent="0.3">
      <c r="B62" s="15">
        <v>59</v>
      </c>
      <c r="C62" s="16">
        <f t="shared" si="13"/>
        <v>46174</v>
      </c>
      <c r="D62" s="17">
        <f t="shared" si="5"/>
        <v>2026</v>
      </c>
      <c r="E62" s="18">
        <f t="shared" si="14"/>
        <v>3533.1400000000008</v>
      </c>
      <c r="F62" s="18">
        <v>37.99</v>
      </c>
      <c r="G62" s="19">
        <f t="shared" si="6"/>
        <v>1.0752475135431937E-2</v>
      </c>
      <c r="H62" s="18">
        <f t="shared" si="17"/>
        <v>0</v>
      </c>
      <c r="I62" s="18">
        <f t="shared" si="7"/>
        <v>3571.1300000000006</v>
      </c>
      <c r="K62" s="18">
        <f t="shared" si="19"/>
        <v>109.54123399031788</v>
      </c>
      <c r="L62" s="19">
        <v>2.5000000000000001E-2</v>
      </c>
      <c r="M62" s="18">
        <f t="shared" si="8"/>
        <v>0</v>
      </c>
      <c r="N62" s="18">
        <f t="shared" si="15"/>
        <v>4491.1905936030325</v>
      </c>
      <c r="P62" s="20">
        <f t="shared" si="16"/>
        <v>600.7600000000001</v>
      </c>
      <c r="Q62" s="59">
        <f>27.93-213.1-20.03+13.97+4.97+84.83+89.68</f>
        <v>-11.749999999999986</v>
      </c>
      <c r="R62" s="22">
        <f t="shared" si="9"/>
        <v>-1.9558559158399335E-2</v>
      </c>
      <c r="S62" s="18">
        <f t="shared" si="22"/>
        <v>0</v>
      </c>
      <c r="T62" s="18">
        <f t="shared" si="10"/>
        <v>589.0100000000001</v>
      </c>
      <c r="U62" s="41">
        <f>IF(SUM($U$4:U61)=1,0,IF(SUM($Q$4:Q62)&gt;39891.29,1,0))</f>
        <v>0</v>
      </c>
      <c r="V62" s="23">
        <f t="shared" ca="1" si="0"/>
        <v>-2982.1200000000003</v>
      </c>
      <c r="W62" s="23">
        <f t="shared" ca="1" si="11"/>
        <v>-3902.1805936030323</v>
      </c>
      <c r="X62" s="23">
        <f>IF(Q62=0,0,SUM($Q$41:Q62))</f>
        <v>-1640.9299999999998</v>
      </c>
      <c r="Y62" s="50">
        <f>IF(Q62=0,Y61,COUNTIF($Q$41:Q62,"&gt;0")/COUNTIF($Q$41:Q62,"&lt;&gt;0"))</f>
        <v>0.7</v>
      </c>
      <c r="AA62" s="51">
        <f t="shared" si="12"/>
        <v>-1.9558559158399335E-2</v>
      </c>
      <c r="AB62" s="51">
        <f t="shared" si="1"/>
        <v>-6.7343347910063592E-3</v>
      </c>
      <c r="AC62" s="52">
        <v>1744.79</v>
      </c>
      <c r="AD62" s="52">
        <v>7</v>
      </c>
      <c r="AE62" s="51">
        <f t="shared" si="2"/>
        <v>2.9043045475730733</v>
      </c>
      <c r="AF62" s="53">
        <f t="shared" ca="1" si="3"/>
        <v>0</v>
      </c>
      <c r="AG62" s="54" t="str">
        <f t="shared" ca="1" si="4"/>
        <v>-</v>
      </c>
      <c r="AH62" s="52">
        <v>23.75</v>
      </c>
      <c r="AI62" s="28" t="s">
        <v>24</v>
      </c>
      <c r="AJ62" s="55"/>
      <c r="AL62" s="32">
        <f t="shared" si="20"/>
        <v>1679.5818512976577</v>
      </c>
      <c r="AM62" s="102">
        <f t="shared" si="18"/>
        <v>2.5000000000000001E-2</v>
      </c>
      <c r="AN62" s="32">
        <f t="shared" si="21"/>
        <v>41.989546282441445</v>
      </c>
      <c r="AO62" s="67"/>
      <c r="AQ62" s="3">
        <f>7/52</f>
        <v>0.13461538461538461</v>
      </c>
      <c r="AV62" s="32"/>
    </row>
    <row r="63" spans="2:48" ht="16.5" thickBot="1" x14ac:dyDescent="0.3">
      <c r="B63" s="33">
        <v>60</v>
      </c>
      <c r="C63" s="34">
        <f t="shared" si="13"/>
        <v>46181</v>
      </c>
      <c r="D63" s="35">
        <f t="shared" si="5"/>
        <v>2026</v>
      </c>
      <c r="E63" s="36">
        <f t="shared" si="14"/>
        <v>3571.1300000000006</v>
      </c>
      <c r="F63" s="36">
        <v>39.119999999999997</v>
      </c>
      <c r="G63" s="37">
        <f t="shared" si="6"/>
        <v>1.0954515797520671E-2</v>
      </c>
      <c r="H63" s="36">
        <f t="shared" si="17"/>
        <v>200</v>
      </c>
      <c r="I63" s="36">
        <f t="shared" si="7"/>
        <v>3810.2500000000005</v>
      </c>
      <c r="K63" s="36">
        <f t="shared" si="19"/>
        <v>112.27976484007581</v>
      </c>
      <c r="L63" s="37">
        <v>2.5000000000000001E-2</v>
      </c>
      <c r="M63" s="36">
        <f t="shared" si="8"/>
        <v>200</v>
      </c>
      <c r="N63" s="36">
        <f t="shared" si="15"/>
        <v>4803.4703584431081</v>
      </c>
      <c r="P63" s="38">
        <f t="shared" si="16"/>
        <v>589.0100000000001</v>
      </c>
      <c r="Q63" s="56">
        <f>97.93+102.83+53.9+194.86</f>
        <v>449.52</v>
      </c>
      <c r="R63" s="40">
        <f t="shared" si="9"/>
        <v>0.76317889339739542</v>
      </c>
      <c r="S63" s="36">
        <v>200</v>
      </c>
      <c r="T63" s="36">
        <f t="shared" si="10"/>
        <v>1238.5300000000002</v>
      </c>
      <c r="U63" s="41">
        <f>IF(SUM($U$4:U62)=1,0,IF(SUM($Q$4:Q63)&gt;39891.29,1,0))</f>
        <v>0</v>
      </c>
      <c r="V63" s="36">
        <f t="shared" ca="1" si="0"/>
        <v>-2571.7200000000003</v>
      </c>
      <c r="W63" s="36">
        <f t="shared" ca="1" si="11"/>
        <v>-3564.9403584431079</v>
      </c>
      <c r="X63" s="36">
        <f>IF(Q63=0,0,SUM($Q$41:Q63))</f>
        <v>-1191.4099999999999</v>
      </c>
      <c r="Y63" s="37">
        <f>IF(Q63=0,Y62,COUNTIF($Q$41:Q63,"&gt;0")/COUNTIF($Q$41:Q63,"&lt;&gt;0"))</f>
        <v>0.7142857142857143</v>
      </c>
      <c r="AA63" s="42">
        <f t="shared" si="12"/>
        <v>0.76317889339739542</v>
      </c>
      <c r="AB63" s="42">
        <f t="shared" si="1"/>
        <v>0.29445248685012082</v>
      </c>
      <c r="AC63" s="43">
        <v>1526.63</v>
      </c>
      <c r="AD63" s="43">
        <v>4</v>
      </c>
      <c r="AE63" s="42">
        <f t="shared" si="2"/>
        <v>2.5918575236413641</v>
      </c>
      <c r="AF63" s="44">
        <f t="shared" ca="1" si="3"/>
        <v>0</v>
      </c>
      <c r="AG63" s="45" t="str">
        <f t="shared" ca="1" si="4"/>
        <v>-</v>
      </c>
      <c r="AH63" s="43">
        <v>9.34</v>
      </c>
      <c r="AI63" s="46" t="s">
        <v>24</v>
      </c>
      <c r="AJ63" s="47"/>
      <c r="AL63" s="32">
        <f t="shared" si="20"/>
        <v>1721.5713975800993</v>
      </c>
      <c r="AM63" s="102">
        <f t="shared" si="18"/>
        <v>2.5000000000000001E-2</v>
      </c>
      <c r="AN63" s="32">
        <f t="shared" si="21"/>
        <v>43.039284939502487</v>
      </c>
      <c r="AO63" s="48"/>
      <c r="AQ63" s="32">
        <f>SUM(Q59:Q65)</f>
        <v>2145.71</v>
      </c>
      <c r="AV63" s="32"/>
    </row>
    <row r="64" spans="2:48" ht="16.5" thickBot="1" x14ac:dyDescent="0.3">
      <c r="B64" s="15">
        <v>61</v>
      </c>
      <c r="C64" s="16">
        <f t="shared" si="13"/>
        <v>46188</v>
      </c>
      <c r="D64" s="17">
        <f t="shared" si="5"/>
        <v>2026</v>
      </c>
      <c r="E64" s="18">
        <f t="shared" si="14"/>
        <v>3810.2500000000005</v>
      </c>
      <c r="F64" s="18">
        <v>40.299999999999997</v>
      </c>
      <c r="G64" s="19">
        <f t="shared" si="6"/>
        <v>1.0576733810117445E-2</v>
      </c>
      <c r="H64" s="18">
        <f t="shared" si="17"/>
        <v>115</v>
      </c>
      <c r="I64" s="18">
        <f t="shared" si="7"/>
        <v>3965.5500000000006</v>
      </c>
      <c r="K64" s="18">
        <f t="shared" si="19"/>
        <v>120.08675896107771</v>
      </c>
      <c r="L64" s="19">
        <v>2.5000000000000001E-2</v>
      </c>
      <c r="M64" s="18">
        <f t="shared" si="8"/>
        <v>115</v>
      </c>
      <c r="N64" s="18">
        <f t="shared" si="15"/>
        <v>5038.5571174041861</v>
      </c>
      <c r="P64" s="20">
        <f t="shared" si="16"/>
        <v>1238.5300000000002</v>
      </c>
      <c r="Q64" s="59">
        <f>83.83+69.67+219.84</f>
        <v>373.34000000000003</v>
      </c>
      <c r="R64" s="22">
        <f t="shared" si="9"/>
        <v>0.30143799504251007</v>
      </c>
      <c r="S64" s="18">
        <v>115</v>
      </c>
      <c r="T64" s="18">
        <f t="shared" si="10"/>
        <v>1726.8700000000003</v>
      </c>
      <c r="U64" s="41">
        <f>IF(SUM($U$4:U63)=1,0,IF(SUM($Q$4:Q64)&gt;39891.29,1,0))</f>
        <v>0</v>
      </c>
      <c r="V64" s="23">
        <f t="shared" ca="1" si="0"/>
        <v>-2238.6800000000003</v>
      </c>
      <c r="W64" s="23">
        <f t="shared" ca="1" si="11"/>
        <v>-3311.6871174041858</v>
      </c>
      <c r="X64" s="23">
        <f>IF(Q64=0,0,SUM($Q$41:Q64))</f>
        <v>-818.06999999999982</v>
      </c>
      <c r="Y64" s="37">
        <f>IF(Q64=0,Y63,COUNTIF($Q$41:Q64,"&gt;0")/COUNTIF($Q$41:Q64,"&lt;&gt;0"))</f>
        <v>0.72727272727272729</v>
      </c>
      <c r="AA64" s="51">
        <f t="shared" si="12"/>
        <v>0.30143799504251007</v>
      </c>
      <c r="AB64" s="51">
        <f t="shared" si="1"/>
        <v>0.25993538864288301</v>
      </c>
      <c r="AC64" s="52">
        <v>1436.28</v>
      </c>
      <c r="AD64" s="52"/>
      <c r="AE64" s="51">
        <f t="shared" si="2"/>
        <v>1.1596650868368144</v>
      </c>
      <c r="AF64" s="53">
        <f t="shared" ca="1" si="3"/>
        <v>0</v>
      </c>
      <c r="AG64" s="54" t="str">
        <f t="shared" ca="1" si="4"/>
        <v>-</v>
      </c>
      <c r="AH64" s="52">
        <v>20.68</v>
      </c>
      <c r="AI64" s="28" t="s">
        <v>24</v>
      </c>
      <c r="AJ64" s="55"/>
      <c r="AL64" s="32">
        <f t="shared" si="20"/>
        <v>1764.6106825196018</v>
      </c>
      <c r="AM64" s="102">
        <f t="shared" si="18"/>
        <v>2.5000000000000001E-2</v>
      </c>
      <c r="AN64" s="32">
        <f t="shared" si="21"/>
        <v>44.11526706299005</v>
      </c>
      <c r="AV64" s="32"/>
    </row>
    <row r="65" spans="2:48" ht="16.5" thickBot="1" x14ac:dyDescent="0.3">
      <c r="B65" s="33">
        <v>62</v>
      </c>
      <c r="C65" s="34">
        <f t="shared" si="13"/>
        <v>46195</v>
      </c>
      <c r="D65" s="35">
        <f t="shared" si="5"/>
        <v>2026</v>
      </c>
      <c r="E65" s="36">
        <f t="shared" si="14"/>
        <v>3965.5500000000006</v>
      </c>
      <c r="F65" s="36">
        <v>41.51</v>
      </c>
      <c r="G65" s="37">
        <f t="shared" si="6"/>
        <v>1.0467652658521514E-2</v>
      </c>
      <c r="H65" s="36">
        <f t="shared" si="17"/>
        <v>250</v>
      </c>
      <c r="I65" s="36">
        <f t="shared" si="7"/>
        <v>4257.0600000000013</v>
      </c>
      <c r="K65" s="36">
        <f t="shared" si="19"/>
        <v>125.96392793510466</v>
      </c>
      <c r="L65" s="37">
        <v>2.5000000000000001E-2</v>
      </c>
      <c r="M65" s="36">
        <f t="shared" si="8"/>
        <v>250</v>
      </c>
      <c r="N65" s="36">
        <f t="shared" si="15"/>
        <v>5414.521045339291</v>
      </c>
      <c r="P65" s="38">
        <f t="shared" si="16"/>
        <v>1726.8700000000003</v>
      </c>
      <c r="Q65" s="56">
        <f>52.19+123.7+23.97+460.8+404.52</f>
        <v>1065.1799999999998</v>
      </c>
      <c r="R65" s="40">
        <f t="shared" si="9"/>
        <v>0.61682697597387159</v>
      </c>
      <c r="S65" s="36">
        <v>250</v>
      </c>
      <c r="T65" s="36">
        <f t="shared" si="10"/>
        <v>3042.05</v>
      </c>
      <c r="U65" s="41">
        <f>IF(SUM($U$4:U64)=1,0,IF(SUM($Q$4:Q65)&gt;39891.29,1,0))</f>
        <v>0</v>
      </c>
      <c r="V65" s="36">
        <f t="shared" ca="1" si="0"/>
        <v>-1215.0100000000011</v>
      </c>
      <c r="W65" s="36">
        <f t="shared" ca="1" si="11"/>
        <v>-2372.4710453392909</v>
      </c>
      <c r="X65" s="36">
        <f>IF(Q65=0,0,SUM($Q$41:Q65))</f>
        <v>247.11</v>
      </c>
      <c r="Y65" s="37">
        <f>IF(Q65=0,Y64,COUNTIF($Q$41:Q65,"&gt;0")/COUNTIF($Q$41:Q65,"&lt;&gt;0"))</f>
        <v>0.73913043478260865</v>
      </c>
      <c r="AA65" s="42">
        <f t="shared" si="12"/>
        <v>0.61682697597387159</v>
      </c>
      <c r="AB65" s="42">
        <f t="shared" si="1"/>
        <v>0.34479990418448364</v>
      </c>
      <c r="AC65" s="43">
        <v>3089.27</v>
      </c>
      <c r="AD65" s="43">
        <v>5</v>
      </c>
      <c r="AE65" s="42">
        <f t="shared" si="2"/>
        <v>1.7889418427559685</v>
      </c>
      <c r="AF65" s="44">
        <f t="shared" ca="1" si="3"/>
        <v>0</v>
      </c>
      <c r="AG65" s="45" t="str">
        <f t="shared" ca="1" si="4"/>
        <v>-</v>
      </c>
      <c r="AH65" s="43">
        <v>56.82</v>
      </c>
      <c r="AI65" s="46" t="s">
        <v>24</v>
      </c>
      <c r="AJ65" s="47"/>
      <c r="AL65" s="32">
        <f t="shared" si="20"/>
        <v>1808.725949582592</v>
      </c>
      <c r="AM65" s="102">
        <f t="shared" si="18"/>
        <v>2.5000000000000001E-2</v>
      </c>
      <c r="AN65" s="32">
        <f t="shared" si="21"/>
        <v>45.218148739564803</v>
      </c>
      <c r="AO65" s="48"/>
      <c r="AQ65" s="32">
        <f>AQ63/AQ62</f>
        <v>15939.560000000001</v>
      </c>
      <c r="AV65" s="32"/>
    </row>
    <row r="66" spans="2:48" ht="16.5" thickBot="1" x14ac:dyDescent="0.3">
      <c r="B66" s="15">
        <v>63</v>
      </c>
      <c r="C66" s="16">
        <f t="shared" si="13"/>
        <v>46202</v>
      </c>
      <c r="D66" s="17">
        <f t="shared" si="5"/>
        <v>2026</v>
      </c>
      <c r="E66" s="18">
        <f t="shared" si="14"/>
        <v>4257.0600000000013</v>
      </c>
      <c r="F66" s="18">
        <v>42.75</v>
      </c>
      <c r="G66" s="19">
        <f t="shared" si="6"/>
        <v>1.0042141759806061E-2</v>
      </c>
      <c r="H66" s="18">
        <f t="shared" si="17"/>
        <v>0</v>
      </c>
      <c r="I66" s="18">
        <f t="shared" si="7"/>
        <v>4299.8100000000013</v>
      </c>
      <c r="K66" s="18">
        <f t="shared" si="19"/>
        <v>135.36302613348229</v>
      </c>
      <c r="L66" s="19">
        <v>2.5000000000000001E-2</v>
      </c>
      <c r="M66" s="18">
        <f t="shared" si="8"/>
        <v>0</v>
      </c>
      <c r="N66" s="18">
        <f t="shared" si="15"/>
        <v>5549.884071472773</v>
      </c>
      <c r="P66" s="20">
        <f t="shared" si="16"/>
        <v>3042.05</v>
      </c>
      <c r="Q66" s="59"/>
      <c r="R66" s="22" t="str">
        <f t="shared" si="9"/>
        <v>-</v>
      </c>
      <c r="S66" s="18">
        <v>0</v>
      </c>
      <c r="T66" s="18">
        <f t="shared" si="10"/>
        <v>3042.05</v>
      </c>
      <c r="U66" s="41">
        <f>IF(SUM($U$4:U65)=1,0,IF(SUM($Q$4:Q66)&gt;39891.29,1,0))</f>
        <v>0</v>
      </c>
      <c r="V66" s="23">
        <f t="shared" ca="1" si="0"/>
        <v>0</v>
      </c>
      <c r="W66" s="23">
        <f t="shared" ca="1" si="11"/>
        <v>0</v>
      </c>
      <c r="X66" s="23">
        <f>IF(Q66=0,0,SUM($Q$41:Q66))</f>
        <v>0</v>
      </c>
      <c r="Y66" s="23"/>
      <c r="AA66" s="51" t="str">
        <f t="shared" si="12"/>
        <v>-</v>
      </c>
      <c r="AB66" s="51" t="str">
        <f t="shared" si="1"/>
        <v>-</v>
      </c>
      <c r="AC66" s="52">
        <v>0</v>
      </c>
      <c r="AD66" s="52"/>
      <c r="AE66" s="51" t="str">
        <f t="shared" si="2"/>
        <v>-</v>
      </c>
      <c r="AF66" s="53">
        <f t="shared" ca="1" si="3"/>
        <v>0</v>
      </c>
      <c r="AG66" s="54" t="str">
        <f t="shared" ca="1" si="4"/>
        <v>-</v>
      </c>
      <c r="AH66" s="52">
        <v>0</v>
      </c>
      <c r="AI66" s="28" t="s">
        <v>24</v>
      </c>
      <c r="AJ66" s="55"/>
      <c r="AL66" s="32">
        <f t="shared" si="20"/>
        <v>1853.9440983221568</v>
      </c>
      <c r="AM66" s="102">
        <f t="shared" si="18"/>
        <v>2.5000000000000001E-2</v>
      </c>
      <c r="AN66" s="32">
        <f t="shared" si="21"/>
        <v>46.348602458053925</v>
      </c>
      <c r="AO66" s="67"/>
      <c r="AV66" s="32"/>
    </row>
    <row r="67" spans="2:48" ht="16.5" thickBot="1" x14ac:dyDescent="0.3">
      <c r="B67" s="33">
        <v>64</v>
      </c>
      <c r="C67" s="34">
        <f t="shared" si="13"/>
        <v>46209</v>
      </c>
      <c r="D67" s="35">
        <f t="shared" si="5"/>
        <v>2026</v>
      </c>
      <c r="E67" s="36">
        <f t="shared" si="14"/>
        <v>4299.8100000000013</v>
      </c>
      <c r="F67" s="36">
        <v>44.04</v>
      </c>
      <c r="G67" s="37">
        <f t="shared" si="6"/>
        <v>1.0242313032436313E-2</v>
      </c>
      <c r="H67" s="36">
        <f t="shared" si="17"/>
        <v>100</v>
      </c>
      <c r="I67" s="36">
        <f t="shared" si="7"/>
        <v>4443.8500000000013</v>
      </c>
      <c r="K67" s="36">
        <f t="shared" si="19"/>
        <v>138.74710178681934</v>
      </c>
      <c r="L67" s="37">
        <v>2.5000000000000001E-2</v>
      </c>
      <c r="M67" s="36">
        <f t="shared" si="8"/>
        <v>100</v>
      </c>
      <c r="N67" s="36">
        <f t="shared" si="15"/>
        <v>5788.6311732595923</v>
      </c>
      <c r="P67" s="38">
        <f t="shared" si="16"/>
        <v>3042.05</v>
      </c>
      <c r="Q67" s="56"/>
      <c r="R67" s="40"/>
      <c r="S67" s="36">
        <v>100</v>
      </c>
      <c r="T67" s="36">
        <f t="shared" si="10"/>
        <v>3142.05</v>
      </c>
      <c r="U67" s="41">
        <f>IF(SUM($U$4:U66)=1,0,IF(SUM($Q$4:Q67)&gt;39891.29,1,0))</f>
        <v>0</v>
      </c>
      <c r="V67" s="36"/>
      <c r="W67" s="36"/>
      <c r="X67" s="36"/>
      <c r="Y67" s="36"/>
      <c r="AA67" s="42"/>
      <c r="AB67" s="42"/>
      <c r="AC67" s="43"/>
      <c r="AD67" s="43"/>
      <c r="AE67" s="42"/>
      <c r="AF67" s="44"/>
      <c r="AG67" s="45"/>
      <c r="AH67" s="43"/>
      <c r="AI67" s="46"/>
      <c r="AJ67" s="47"/>
      <c r="AL67" s="32">
        <f t="shared" si="20"/>
        <v>1900.2927007802107</v>
      </c>
      <c r="AM67" s="102">
        <f t="shared" si="18"/>
        <v>2.5000000000000001E-2</v>
      </c>
      <c r="AN67" s="32">
        <f t="shared" si="21"/>
        <v>47.507317519505271</v>
      </c>
      <c r="AO67" s="48"/>
      <c r="AV67" s="32"/>
    </row>
    <row r="68" spans="2:48" ht="16.5" thickBot="1" x14ac:dyDescent="0.3">
      <c r="B68" s="15">
        <v>65</v>
      </c>
      <c r="C68" s="16">
        <f t="shared" si="13"/>
        <v>46216</v>
      </c>
      <c r="D68" s="17">
        <f t="shared" si="5"/>
        <v>2026</v>
      </c>
      <c r="E68" s="18">
        <f t="shared" si="14"/>
        <v>4443.8500000000013</v>
      </c>
      <c r="F68" s="18">
        <v>45.36</v>
      </c>
      <c r="G68" s="19">
        <f t="shared" si="6"/>
        <v>1.0207365235100192E-2</v>
      </c>
      <c r="H68" s="18">
        <f t="shared" si="17"/>
        <v>0</v>
      </c>
      <c r="I68" s="18">
        <f t="shared" si="7"/>
        <v>4489.2100000000009</v>
      </c>
      <c r="K68" s="18">
        <f t="shared" si="19"/>
        <v>144.71577933148981</v>
      </c>
      <c r="L68" s="19">
        <v>2.5000000000000001E-2</v>
      </c>
      <c r="M68" s="18">
        <f t="shared" si="8"/>
        <v>0</v>
      </c>
      <c r="N68" s="18">
        <f t="shared" si="15"/>
        <v>5933.3469525910823</v>
      </c>
      <c r="P68" s="20">
        <f t="shared" si="16"/>
        <v>3142.05</v>
      </c>
      <c r="Q68" s="59"/>
      <c r="R68" s="22"/>
      <c r="S68" s="18">
        <f t="shared" si="22"/>
        <v>0</v>
      </c>
      <c r="T68" s="18">
        <f t="shared" si="10"/>
        <v>3142.05</v>
      </c>
      <c r="U68" s="41">
        <f>IF(SUM($U$4:U67)=1,0,IF(SUM($Q$4:Q68)&gt;39891.29,1,0))</f>
        <v>0</v>
      </c>
      <c r="V68" s="23"/>
      <c r="W68" s="23"/>
      <c r="X68" s="23"/>
      <c r="Y68" s="23"/>
      <c r="AA68" s="51"/>
      <c r="AB68" s="51"/>
      <c r="AC68" s="52"/>
      <c r="AD68" s="52"/>
      <c r="AE68" s="51"/>
      <c r="AF68" s="53"/>
      <c r="AG68" s="54"/>
      <c r="AH68" s="52"/>
      <c r="AI68" s="28"/>
      <c r="AJ68" s="55"/>
      <c r="AL68" s="32">
        <f t="shared" si="20"/>
        <v>1947.8000182997159</v>
      </c>
      <c r="AM68" s="102">
        <f t="shared" si="18"/>
        <v>2.5000000000000001E-2</v>
      </c>
      <c r="AN68" s="32">
        <f t="shared" si="21"/>
        <v>48.695000457492903</v>
      </c>
      <c r="AO68" s="67"/>
      <c r="AV68" s="32"/>
    </row>
    <row r="69" spans="2:48" ht="16.5" thickBot="1" x14ac:dyDescent="0.3">
      <c r="B69" s="33">
        <v>66</v>
      </c>
      <c r="C69" s="34">
        <f t="shared" si="13"/>
        <v>46223</v>
      </c>
      <c r="D69" s="35">
        <f t="shared" ref="D69:D132" si="23">YEAR(C69)</f>
        <v>2026</v>
      </c>
      <c r="E69" s="36">
        <f t="shared" si="14"/>
        <v>4489.2100000000009</v>
      </c>
      <c r="F69" s="36">
        <v>46.72</v>
      </c>
      <c r="G69" s="37">
        <f t="shared" ref="G69:G132" si="24">F69/E69</f>
        <v>1.0407176318327721E-2</v>
      </c>
      <c r="H69" s="36">
        <f t="shared" si="17"/>
        <v>100</v>
      </c>
      <c r="I69" s="36">
        <f t="shared" ref="I69:I132" si="25">E69+F69+H69</f>
        <v>4635.9300000000012</v>
      </c>
      <c r="K69" s="36">
        <f t="shared" si="19"/>
        <v>148.33367381477706</v>
      </c>
      <c r="L69" s="37">
        <v>2.5000000000000001E-2</v>
      </c>
      <c r="M69" s="36">
        <f t="shared" ref="M69:M132" si="26">H69</f>
        <v>100</v>
      </c>
      <c r="N69" s="36">
        <f t="shared" si="15"/>
        <v>6181.6806264058596</v>
      </c>
      <c r="P69" s="38">
        <f t="shared" si="16"/>
        <v>3142.05</v>
      </c>
      <c r="Q69" s="56"/>
      <c r="R69" s="40"/>
      <c r="S69" s="36">
        <f t="shared" si="22"/>
        <v>100</v>
      </c>
      <c r="T69" s="36">
        <f t="shared" ref="T69:T132" si="27">P69+Q69+S69</f>
        <v>3242.05</v>
      </c>
      <c r="U69" s="41">
        <f>IF(SUM($U$4:U68)=1,0,IF(SUM($Q$4:Q69)&gt;39891.29,1,0))</f>
        <v>0</v>
      </c>
      <c r="V69" s="36"/>
      <c r="W69" s="36"/>
      <c r="X69" s="36"/>
      <c r="Y69" s="36"/>
      <c r="AA69" s="42"/>
      <c r="AB69" s="42"/>
      <c r="AC69" s="43"/>
      <c r="AD69" s="43"/>
      <c r="AE69" s="42"/>
      <c r="AF69" s="44"/>
      <c r="AG69" s="45"/>
      <c r="AH69" s="43"/>
      <c r="AI69" s="46"/>
      <c r="AJ69" s="47"/>
      <c r="AL69" s="32">
        <f t="shared" si="20"/>
        <v>1996.4950187572088</v>
      </c>
      <c r="AM69" s="102">
        <f t="shared" si="18"/>
        <v>2.5000000000000001E-2</v>
      </c>
      <c r="AN69" s="32">
        <f t="shared" si="21"/>
        <v>49.912375468930222</v>
      </c>
      <c r="AO69" s="48"/>
      <c r="AV69" s="32"/>
    </row>
    <row r="70" spans="2:48" ht="16.5" thickBot="1" x14ac:dyDescent="0.3">
      <c r="B70" s="15">
        <v>67</v>
      </c>
      <c r="C70" s="16">
        <f t="shared" ref="C70:C133" si="28">C69+7</f>
        <v>46230</v>
      </c>
      <c r="D70" s="17">
        <f t="shared" si="23"/>
        <v>2026</v>
      </c>
      <c r="E70" s="18">
        <f t="shared" ref="E70:E133" si="29">I69</f>
        <v>4635.9300000000012</v>
      </c>
      <c r="F70" s="18">
        <v>48.12</v>
      </c>
      <c r="G70" s="19">
        <f t="shared" si="24"/>
        <v>1.0379794345471132E-2</v>
      </c>
      <c r="H70" s="18">
        <f t="shared" si="17"/>
        <v>0</v>
      </c>
      <c r="I70" s="18">
        <f t="shared" si="25"/>
        <v>4684.0500000000011</v>
      </c>
      <c r="K70" s="18">
        <f t="shared" si="19"/>
        <v>154.54201566014649</v>
      </c>
      <c r="L70" s="19">
        <v>2.5000000000000001E-2</v>
      </c>
      <c r="M70" s="18">
        <f t="shared" si="26"/>
        <v>0</v>
      </c>
      <c r="N70" s="18">
        <f t="shared" ref="N70:N133" si="30">N69+K70+M70</f>
        <v>6336.2226420660063</v>
      </c>
      <c r="P70" s="20">
        <f t="shared" ref="P70:P133" si="31">T69</f>
        <v>3242.05</v>
      </c>
      <c r="Q70" s="59"/>
      <c r="R70" s="22"/>
      <c r="S70" s="18">
        <f t="shared" si="22"/>
        <v>0</v>
      </c>
      <c r="T70" s="18">
        <f t="shared" si="27"/>
        <v>3242.05</v>
      </c>
      <c r="U70" s="41">
        <f>IF(SUM($U$4:U69)=1,0,IF(SUM($Q$4:Q70)&gt;39891.29,1,0))</f>
        <v>0</v>
      </c>
      <c r="V70" s="23"/>
      <c r="W70" s="23"/>
      <c r="X70" s="23"/>
      <c r="Y70" s="23"/>
      <c r="AA70" s="51"/>
      <c r="AB70" s="51"/>
      <c r="AC70" s="52"/>
      <c r="AD70" s="52"/>
      <c r="AE70" s="51"/>
      <c r="AF70" s="53"/>
      <c r="AG70" s="54"/>
      <c r="AH70" s="52"/>
      <c r="AI70" s="28"/>
      <c r="AJ70" s="55"/>
      <c r="AL70" s="32">
        <f t="shared" si="20"/>
        <v>2046.4073942261389</v>
      </c>
      <c r="AM70" s="102">
        <f t="shared" si="18"/>
        <v>2.5000000000000001E-2</v>
      </c>
      <c r="AN70" s="32">
        <f t="shared" si="21"/>
        <v>51.160184855653476</v>
      </c>
      <c r="AO70" s="67"/>
      <c r="AV70" s="32"/>
    </row>
    <row r="71" spans="2:48" ht="16.5" thickBot="1" x14ac:dyDescent="0.3">
      <c r="B71" s="33">
        <v>68</v>
      </c>
      <c r="C71" s="34">
        <f t="shared" si="28"/>
        <v>46237</v>
      </c>
      <c r="D71" s="35">
        <f t="shared" si="23"/>
        <v>2026</v>
      </c>
      <c r="E71" s="36">
        <f t="shared" si="29"/>
        <v>4684.0500000000011</v>
      </c>
      <c r="F71" s="36">
        <v>49.56</v>
      </c>
      <c r="G71" s="37">
        <f t="shared" si="24"/>
        <v>1.0580587312261823E-2</v>
      </c>
      <c r="H71" s="36">
        <f t="shared" si="17"/>
        <v>100</v>
      </c>
      <c r="I71" s="36">
        <f t="shared" si="25"/>
        <v>4833.6100000000015</v>
      </c>
      <c r="K71" s="36">
        <f t="shared" si="19"/>
        <v>158.40556605165017</v>
      </c>
      <c r="L71" s="37">
        <v>2.5000000000000001E-2</v>
      </c>
      <c r="M71" s="36">
        <f t="shared" si="26"/>
        <v>100</v>
      </c>
      <c r="N71" s="36">
        <f t="shared" si="30"/>
        <v>6594.6282081176569</v>
      </c>
      <c r="P71" s="38">
        <f t="shared" si="31"/>
        <v>3242.05</v>
      </c>
      <c r="Q71" s="56"/>
      <c r="R71" s="40"/>
      <c r="S71" s="36">
        <f t="shared" si="22"/>
        <v>100</v>
      </c>
      <c r="T71" s="36">
        <f t="shared" si="27"/>
        <v>3342.05</v>
      </c>
      <c r="U71" s="41">
        <f>IF(SUM($U$4:U70)=1,0,IF(SUM($Q$4:Q71)&gt;39891.29,1,0))</f>
        <v>0</v>
      </c>
      <c r="V71" s="36"/>
      <c r="W71" s="36"/>
      <c r="X71" s="36"/>
      <c r="Y71" s="36"/>
      <c r="AA71" s="42"/>
      <c r="AB71" s="42"/>
      <c r="AC71" s="43"/>
      <c r="AD71" s="43"/>
      <c r="AE71" s="42"/>
      <c r="AF71" s="44"/>
      <c r="AG71" s="45"/>
      <c r="AH71" s="43"/>
      <c r="AI71" s="46"/>
      <c r="AJ71" s="47"/>
      <c r="AL71" s="32">
        <f t="shared" si="20"/>
        <v>2097.5675790817922</v>
      </c>
      <c r="AM71" s="102">
        <f t="shared" si="18"/>
        <v>2.5000000000000001E-2</v>
      </c>
      <c r="AN71" s="32">
        <f t="shared" si="21"/>
        <v>52.439189477044806</v>
      </c>
      <c r="AO71" s="48"/>
      <c r="AV71" s="32"/>
    </row>
    <row r="72" spans="2:48" ht="16.5" thickBot="1" x14ac:dyDescent="0.3">
      <c r="B72" s="15">
        <v>69</v>
      </c>
      <c r="C72" s="16">
        <f t="shared" si="28"/>
        <v>46244</v>
      </c>
      <c r="D72" s="17">
        <f t="shared" si="23"/>
        <v>2026</v>
      </c>
      <c r="E72" s="18">
        <f t="shared" si="29"/>
        <v>4833.6100000000015</v>
      </c>
      <c r="F72" s="18">
        <v>51.05</v>
      </c>
      <c r="G72" s="19">
        <f t="shared" si="24"/>
        <v>1.0561464412726715E-2</v>
      </c>
      <c r="H72" s="18">
        <f t="shared" ref="H72:H135" si="32">S72</f>
        <v>0</v>
      </c>
      <c r="I72" s="18">
        <f t="shared" si="25"/>
        <v>4884.6600000000017</v>
      </c>
      <c r="K72" s="18">
        <f t="shared" si="19"/>
        <v>164.86570520294143</v>
      </c>
      <c r="L72" s="19">
        <v>2.5000000000000001E-2</v>
      </c>
      <c r="M72" s="18">
        <f t="shared" si="26"/>
        <v>0</v>
      </c>
      <c r="N72" s="18">
        <f t="shared" si="30"/>
        <v>6759.493913320598</v>
      </c>
      <c r="P72" s="20">
        <f t="shared" si="31"/>
        <v>3342.05</v>
      </c>
      <c r="Q72" s="59"/>
      <c r="R72" s="22"/>
      <c r="S72" s="18">
        <f t="shared" si="22"/>
        <v>0</v>
      </c>
      <c r="T72" s="18">
        <f t="shared" si="27"/>
        <v>3342.05</v>
      </c>
      <c r="U72" s="41">
        <f>IF(SUM($U$4:U71)=1,0,IF(SUM($Q$4:Q72)&gt;39891.29,1,0))</f>
        <v>0</v>
      </c>
      <c r="V72" s="23"/>
      <c r="W72" s="23"/>
      <c r="X72" s="23"/>
      <c r="Y72" s="23"/>
      <c r="AA72" s="51"/>
      <c r="AB72" s="51"/>
      <c r="AC72" s="52"/>
      <c r="AD72" s="52"/>
      <c r="AE72" s="51"/>
      <c r="AF72" s="53"/>
      <c r="AG72" s="54"/>
      <c r="AH72" s="52"/>
      <c r="AI72" s="28"/>
      <c r="AJ72" s="55"/>
      <c r="AL72" s="32">
        <f t="shared" si="20"/>
        <v>2150.0067685588369</v>
      </c>
      <c r="AM72" s="102">
        <f t="shared" si="18"/>
        <v>2.5000000000000001E-2</v>
      </c>
      <c r="AN72" s="32">
        <f t="shared" si="21"/>
        <v>53.750169213970928</v>
      </c>
      <c r="AO72" s="67"/>
      <c r="AV72" s="32"/>
    </row>
    <row r="73" spans="2:48" ht="16.5" thickBot="1" x14ac:dyDescent="0.3">
      <c r="B73" s="33">
        <v>70</v>
      </c>
      <c r="C73" s="34">
        <f t="shared" si="28"/>
        <v>46251</v>
      </c>
      <c r="D73" s="35">
        <f t="shared" si="23"/>
        <v>2026</v>
      </c>
      <c r="E73" s="36">
        <f t="shared" si="29"/>
        <v>4884.6600000000017</v>
      </c>
      <c r="F73" s="36">
        <v>52.58</v>
      </c>
      <c r="G73" s="37">
        <f t="shared" si="24"/>
        <v>1.0764311129126691E-2</v>
      </c>
      <c r="H73" s="36">
        <f t="shared" si="32"/>
        <v>100</v>
      </c>
      <c r="I73" s="36">
        <f t="shared" si="25"/>
        <v>5037.2400000000016</v>
      </c>
      <c r="K73" s="36">
        <f t="shared" si="19"/>
        <v>168.98734783301495</v>
      </c>
      <c r="L73" s="37">
        <v>2.5000000000000001E-2</v>
      </c>
      <c r="M73" s="36">
        <f t="shared" si="26"/>
        <v>100</v>
      </c>
      <c r="N73" s="36">
        <f t="shared" si="30"/>
        <v>7028.4812611536126</v>
      </c>
      <c r="P73" s="38">
        <f t="shared" si="31"/>
        <v>3342.05</v>
      </c>
      <c r="Q73" s="56"/>
      <c r="R73" s="40"/>
      <c r="S73" s="36">
        <f t="shared" si="22"/>
        <v>100</v>
      </c>
      <c r="T73" s="36">
        <f t="shared" si="27"/>
        <v>3442.05</v>
      </c>
      <c r="U73" s="41">
        <f>IF(SUM($U$4:U72)=1,0,IF(SUM($Q$4:Q73)&gt;39891.29,1,0))</f>
        <v>0</v>
      </c>
      <c r="V73" s="36"/>
      <c r="W73" s="36"/>
      <c r="X73" s="36"/>
      <c r="Y73" s="36"/>
      <c r="AA73" s="42"/>
      <c r="AB73" s="42"/>
      <c r="AC73" s="43"/>
      <c r="AD73" s="43"/>
      <c r="AE73" s="42"/>
      <c r="AF73" s="44"/>
      <c r="AG73" s="45"/>
      <c r="AH73" s="43"/>
      <c r="AI73" s="46"/>
      <c r="AJ73" s="47"/>
      <c r="AL73" s="32">
        <f t="shared" si="20"/>
        <v>2203.7569377728078</v>
      </c>
      <c r="AM73" s="102">
        <f t="shared" si="18"/>
        <v>2.5000000000000001E-2</v>
      </c>
      <c r="AN73" s="32">
        <f t="shared" si="21"/>
        <v>55.093923444320197</v>
      </c>
      <c r="AO73" s="48"/>
      <c r="AV73" s="32"/>
    </row>
    <row r="74" spans="2:48" ht="16.5" thickBot="1" x14ac:dyDescent="0.3">
      <c r="B74" s="15">
        <v>71</v>
      </c>
      <c r="C74" s="16">
        <f t="shared" si="28"/>
        <v>46258</v>
      </c>
      <c r="D74" s="17">
        <f t="shared" si="23"/>
        <v>2026</v>
      </c>
      <c r="E74" s="18">
        <f t="shared" si="29"/>
        <v>5037.2400000000016</v>
      </c>
      <c r="F74" s="18">
        <v>54.16</v>
      </c>
      <c r="G74" s="19">
        <f t="shared" si="24"/>
        <v>1.0751919702059061E-2</v>
      </c>
      <c r="H74" s="18">
        <f t="shared" si="32"/>
        <v>0</v>
      </c>
      <c r="I74" s="18">
        <f t="shared" si="25"/>
        <v>5091.4000000000015</v>
      </c>
      <c r="K74" s="18">
        <f t="shared" si="19"/>
        <v>175.71203152884033</v>
      </c>
      <c r="L74" s="19">
        <v>2.5000000000000001E-2</v>
      </c>
      <c r="M74" s="18">
        <f t="shared" si="26"/>
        <v>0</v>
      </c>
      <c r="N74" s="18">
        <f t="shared" si="30"/>
        <v>7204.1932926824529</v>
      </c>
      <c r="P74" s="20">
        <f t="shared" si="31"/>
        <v>3442.05</v>
      </c>
      <c r="Q74" s="59"/>
      <c r="R74" s="22"/>
      <c r="S74" s="18">
        <f t="shared" si="22"/>
        <v>0</v>
      </c>
      <c r="T74" s="18">
        <f t="shared" si="27"/>
        <v>3442.05</v>
      </c>
      <c r="U74" s="41">
        <f>IF(SUM($U$4:U73)=1,0,IF(SUM($Q$4:Q74)&gt;39891.29,1,0))</f>
        <v>0</v>
      </c>
      <c r="V74" s="23"/>
      <c r="W74" s="23"/>
      <c r="X74" s="23"/>
      <c r="Y74" s="23"/>
      <c r="AA74" s="51"/>
      <c r="AB74" s="51"/>
      <c r="AC74" s="52"/>
      <c r="AD74" s="52"/>
      <c r="AE74" s="51"/>
      <c r="AF74" s="53"/>
      <c r="AG74" s="54"/>
      <c r="AH74" s="52"/>
      <c r="AI74" s="28"/>
      <c r="AJ74" s="55"/>
      <c r="AL74" s="32">
        <f t="shared" si="20"/>
        <v>2258.8508612171281</v>
      </c>
      <c r="AM74" s="102">
        <f t="shared" si="18"/>
        <v>2.5000000000000001E-2</v>
      </c>
      <c r="AN74" s="32">
        <f t="shared" si="21"/>
        <v>56.471271530428204</v>
      </c>
      <c r="AO74" s="67"/>
      <c r="AV74" s="32"/>
    </row>
    <row r="75" spans="2:48" ht="16.5" thickBot="1" x14ac:dyDescent="0.3">
      <c r="B75" s="33">
        <v>72</v>
      </c>
      <c r="C75" s="34">
        <f t="shared" si="28"/>
        <v>46265</v>
      </c>
      <c r="D75" s="35">
        <f t="shared" si="23"/>
        <v>2026</v>
      </c>
      <c r="E75" s="36">
        <f t="shared" si="29"/>
        <v>5091.4000000000015</v>
      </c>
      <c r="F75" s="36">
        <v>55.78</v>
      </c>
      <c r="G75" s="37">
        <f t="shared" si="24"/>
        <v>1.0955729268963347E-2</v>
      </c>
      <c r="H75" s="36">
        <f t="shared" si="32"/>
        <v>100</v>
      </c>
      <c r="I75" s="36">
        <f t="shared" si="25"/>
        <v>5247.1800000000012</v>
      </c>
      <c r="K75" s="36">
        <f t="shared" si="19"/>
        <v>180.10483231706132</v>
      </c>
      <c r="L75" s="37">
        <v>2.5000000000000001E-2</v>
      </c>
      <c r="M75" s="36">
        <f t="shared" si="26"/>
        <v>100</v>
      </c>
      <c r="N75" s="36">
        <f t="shared" si="30"/>
        <v>7484.2981249995146</v>
      </c>
      <c r="P75" s="38">
        <f t="shared" si="31"/>
        <v>3442.05</v>
      </c>
      <c r="Q75" s="56"/>
      <c r="R75" s="40"/>
      <c r="S75" s="36">
        <f t="shared" si="22"/>
        <v>100</v>
      </c>
      <c r="T75" s="36">
        <f t="shared" si="27"/>
        <v>3542.05</v>
      </c>
      <c r="U75" s="41">
        <f>IF(SUM($U$4:U74)=1,0,IF(SUM($Q$4:Q75)&gt;39891.29,1,0))</f>
        <v>0</v>
      </c>
      <c r="V75" s="36"/>
      <c r="W75" s="36"/>
      <c r="X75" s="36"/>
      <c r="Y75" s="36"/>
      <c r="AA75" s="42"/>
      <c r="AB75" s="42"/>
      <c r="AC75" s="43"/>
      <c r="AD75" s="43"/>
      <c r="AE75" s="42"/>
      <c r="AF75" s="44"/>
      <c r="AG75" s="45"/>
      <c r="AH75" s="43"/>
      <c r="AI75" s="46"/>
      <c r="AJ75" s="47"/>
      <c r="AL75" s="32">
        <f t="shared" si="20"/>
        <v>2315.3221327475562</v>
      </c>
      <c r="AM75" s="102">
        <f t="shared" si="18"/>
        <v>2.5000000000000001E-2</v>
      </c>
      <c r="AN75" s="32">
        <f t="shared" si="21"/>
        <v>57.883053318688908</v>
      </c>
      <c r="AO75" s="48"/>
      <c r="AV75" s="32"/>
    </row>
    <row r="76" spans="2:48" ht="16.5" thickBot="1" x14ac:dyDescent="0.3">
      <c r="B76" s="15">
        <v>73</v>
      </c>
      <c r="C76" s="16">
        <f t="shared" si="28"/>
        <v>46272</v>
      </c>
      <c r="D76" s="17">
        <f t="shared" si="23"/>
        <v>2026</v>
      </c>
      <c r="E76" s="18">
        <f t="shared" si="29"/>
        <v>5247.1800000000012</v>
      </c>
      <c r="F76" s="18">
        <v>57.46</v>
      </c>
      <c r="G76" s="19">
        <f t="shared" si="24"/>
        <v>1.0950643964948789E-2</v>
      </c>
      <c r="H76" s="18">
        <f t="shared" si="32"/>
        <v>0</v>
      </c>
      <c r="I76" s="18">
        <f t="shared" si="25"/>
        <v>5304.6400000000012</v>
      </c>
      <c r="K76" s="18">
        <f t="shared" si="19"/>
        <v>187.10745312498787</v>
      </c>
      <c r="L76" s="19">
        <v>2.5000000000000001E-2</v>
      </c>
      <c r="M76" s="18">
        <f t="shared" si="26"/>
        <v>0</v>
      </c>
      <c r="N76" s="18">
        <f t="shared" si="30"/>
        <v>7671.4055781245024</v>
      </c>
      <c r="P76" s="20">
        <f t="shared" si="31"/>
        <v>3542.05</v>
      </c>
      <c r="Q76" s="59"/>
      <c r="R76" s="22"/>
      <c r="S76" s="18">
        <f t="shared" si="22"/>
        <v>0</v>
      </c>
      <c r="T76" s="18">
        <f t="shared" si="27"/>
        <v>3542.05</v>
      </c>
      <c r="U76" s="41">
        <f>IF(SUM($U$4:U75)=1,0,IF(SUM($Q$4:Q76)&gt;39891.29,1,0))</f>
        <v>0</v>
      </c>
      <c r="V76" s="23"/>
      <c r="W76" s="23"/>
      <c r="X76" s="23"/>
      <c r="Y76" s="23"/>
      <c r="AA76" s="51"/>
      <c r="AB76" s="51"/>
      <c r="AC76" s="52"/>
      <c r="AD76" s="52"/>
      <c r="AE76" s="51"/>
      <c r="AF76" s="53"/>
      <c r="AG76" s="54"/>
      <c r="AH76" s="52"/>
      <c r="AI76" s="28"/>
      <c r="AJ76" s="55"/>
      <c r="AL76" s="32">
        <f t="shared" si="20"/>
        <v>2373.205186066245</v>
      </c>
      <c r="AM76" s="102">
        <f t="shared" si="18"/>
        <v>2.5000000000000001E-2</v>
      </c>
      <c r="AN76" s="32">
        <f t="shared" si="21"/>
        <v>59.330129651656129</v>
      </c>
      <c r="AV76" s="32"/>
    </row>
    <row r="77" spans="2:48" ht="16.5" thickBot="1" x14ac:dyDescent="0.3">
      <c r="B77" s="33">
        <v>74</v>
      </c>
      <c r="C77" s="34">
        <f t="shared" si="28"/>
        <v>46279</v>
      </c>
      <c r="D77" s="35">
        <f t="shared" si="23"/>
        <v>2026</v>
      </c>
      <c r="E77" s="36">
        <f t="shared" si="29"/>
        <v>5304.6400000000012</v>
      </c>
      <c r="F77" s="36">
        <v>59.18</v>
      </c>
      <c r="G77" s="37">
        <f t="shared" si="24"/>
        <v>1.1156270736562704E-2</v>
      </c>
      <c r="H77" s="36">
        <f t="shared" si="32"/>
        <v>100</v>
      </c>
      <c r="I77" s="36">
        <f t="shared" si="25"/>
        <v>5463.8200000000015</v>
      </c>
      <c r="K77" s="36">
        <f t="shared" si="19"/>
        <v>191.78513945311258</v>
      </c>
      <c r="L77" s="37">
        <v>2.5000000000000001E-2</v>
      </c>
      <c r="M77" s="36">
        <f t="shared" si="26"/>
        <v>100</v>
      </c>
      <c r="N77" s="36">
        <f t="shared" si="30"/>
        <v>7963.190717577615</v>
      </c>
      <c r="P77" s="38">
        <f t="shared" si="31"/>
        <v>3542.05</v>
      </c>
      <c r="Q77" s="56"/>
      <c r="R77" s="40"/>
      <c r="S77" s="36">
        <f t="shared" si="22"/>
        <v>100</v>
      </c>
      <c r="T77" s="36">
        <f t="shared" si="27"/>
        <v>3642.05</v>
      </c>
      <c r="U77" s="41">
        <f>IF(SUM($U$4:U76)=1,0,IF(SUM($Q$4:Q77)&gt;39891.29,1,0))</f>
        <v>0</v>
      </c>
      <c r="V77" s="36"/>
      <c r="W77" s="36"/>
      <c r="X77" s="36"/>
      <c r="Y77" s="36"/>
      <c r="AA77" s="42"/>
      <c r="AB77" s="42"/>
      <c r="AC77" s="43"/>
      <c r="AD77" s="43"/>
      <c r="AE77" s="42"/>
      <c r="AF77" s="44"/>
      <c r="AG77" s="45"/>
      <c r="AH77" s="43"/>
      <c r="AI77" s="46"/>
      <c r="AJ77" s="47"/>
      <c r="AL77" s="32">
        <f t="shared" si="20"/>
        <v>2432.5353157179011</v>
      </c>
      <c r="AM77" s="102">
        <f t="shared" si="18"/>
        <v>2.5000000000000001E-2</v>
      </c>
      <c r="AN77" s="32">
        <f t="shared" si="21"/>
        <v>60.81338289294753</v>
      </c>
      <c r="AO77" s="48"/>
      <c r="AV77" s="32"/>
    </row>
    <row r="78" spans="2:48" ht="16.5" thickBot="1" x14ac:dyDescent="0.3">
      <c r="B78" s="15">
        <v>75</v>
      </c>
      <c r="C78" s="16">
        <f t="shared" si="28"/>
        <v>46286</v>
      </c>
      <c r="D78" s="17">
        <f t="shared" si="23"/>
        <v>2026</v>
      </c>
      <c r="E78" s="18">
        <f t="shared" si="29"/>
        <v>5463.8200000000015</v>
      </c>
      <c r="F78" s="18">
        <v>60.96</v>
      </c>
      <c r="G78" s="19">
        <f t="shared" si="24"/>
        <v>1.1157029331127303E-2</v>
      </c>
      <c r="H78" s="18">
        <f t="shared" si="32"/>
        <v>0</v>
      </c>
      <c r="I78" s="18">
        <f t="shared" si="25"/>
        <v>5524.7800000000016</v>
      </c>
      <c r="K78" s="18">
        <f t="shared" si="19"/>
        <v>199.07976793944039</v>
      </c>
      <c r="L78" s="19">
        <v>2.5000000000000001E-2</v>
      </c>
      <c r="M78" s="18">
        <f t="shared" si="26"/>
        <v>0</v>
      </c>
      <c r="N78" s="18">
        <f t="shared" si="30"/>
        <v>8162.270485517055</v>
      </c>
      <c r="P78" s="20">
        <f t="shared" si="31"/>
        <v>3642.05</v>
      </c>
      <c r="Q78" s="59"/>
      <c r="R78" s="22"/>
      <c r="S78" s="18">
        <f t="shared" si="22"/>
        <v>0</v>
      </c>
      <c r="T78" s="18">
        <f t="shared" si="27"/>
        <v>3642.05</v>
      </c>
      <c r="U78" s="41">
        <f>IF(SUM($U$4:U77)=1,0,IF(SUM($Q$4:Q78)&gt;39891.29,1,0))</f>
        <v>0</v>
      </c>
      <c r="V78" s="23"/>
      <c r="W78" s="23"/>
      <c r="X78" s="23"/>
      <c r="Y78" s="23"/>
      <c r="AA78" s="51"/>
      <c r="AB78" s="51"/>
      <c r="AC78" s="52"/>
      <c r="AD78" s="52"/>
      <c r="AE78" s="51"/>
      <c r="AF78" s="53"/>
      <c r="AG78" s="54"/>
      <c r="AH78" s="52"/>
      <c r="AI78" s="28"/>
      <c r="AJ78" s="55"/>
      <c r="AL78" s="32">
        <f t="shared" si="20"/>
        <v>2493.3486986108487</v>
      </c>
      <c r="AM78" s="102">
        <f t="shared" si="18"/>
        <v>2.5000000000000001E-2</v>
      </c>
      <c r="AN78" s="32">
        <f t="shared" si="21"/>
        <v>62.333717465271221</v>
      </c>
      <c r="AO78" s="67"/>
      <c r="AV78" s="32"/>
    </row>
    <row r="79" spans="2:48" ht="16.5" thickBot="1" x14ac:dyDescent="0.3">
      <c r="B79" s="33">
        <v>76</v>
      </c>
      <c r="C79" s="34">
        <f t="shared" si="28"/>
        <v>46293</v>
      </c>
      <c r="D79" s="35">
        <f t="shared" si="23"/>
        <v>2026</v>
      </c>
      <c r="E79" s="36">
        <f t="shared" si="29"/>
        <v>5524.7800000000016</v>
      </c>
      <c r="F79" s="36">
        <v>62.78</v>
      </c>
      <c r="G79" s="37">
        <f t="shared" si="24"/>
        <v>1.1363348404823356E-2</v>
      </c>
      <c r="H79" s="36">
        <f t="shared" si="32"/>
        <v>100</v>
      </c>
      <c r="I79" s="36">
        <f t="shared" si="25"/>
        <v>5687.5600000000013</v>
      </c>
      <c r="K79" s="36">
        <f t="shared" si="19"/>
        <v>204.0567621379264</v>
      </c>
      <c r="L79" s="37">
        <v>2.5000000000000001E-2</v>
      </c>
      <c r="M79" s="36">
        <f t="shared" si="26"/>
        <v>100</v>
      </c>
      <c r="N79" s="36">
        <f t="shared" si="30"/>
        <v>8466.327247654981</v>
      </c>
      <c r="P79" s="38">
        <f t="shared" si="31"/>
        <v>3642.05</v>
      </c>
      <c r="Q79" s="56"/>
      <c r="R79" s="40"/>
      <c r="S79" s="36">
        <f t="shared" si="22"/>
        <v>100</v>
      </c>
      <c r="T79" s="36">
        <f t="shared" si="27"/>
        <v>3742.05</v>
      </c>
      <c r="U79" s="41">
        <f>IF(SUM($U$4:U78)=1,0,IF(SUM($Q$4:Q79)&gt;39891.29,1,0))</f>
        <v>0</v>
      </c>
      <c r="V79" s="36"/>
      <c r="W79" s="36"/>
      <c r="X79" s="36"/>
      <c r="Y79" s="36"/>
      <c r="AA79" s="42"/>
      <c r="AB79" s="42"/>
      <c r="AC79" s="43"/>
      <c r="AD79" s="43"/>
      <c r="AE79" s="42"/>
      <c r="AF79" s="44"/>
      <c r="AG79" s="45"/>
      <c r="AH79" s="43"/>
      <c r="AI79" s="46"/>
      <c r="AJ79" s="47"/>
      <c r="AL79" s="32">
        <f t="shared" si="20"/>
        <v>2555.6824160761198</v>
      </c>
      <c r="AM79" s="102">
        <f t="shared" si="18"/>
        <v>2.5000000000000001E-2</v>
      </c>
      <c r="AN79" s="32">
        <f t="shared" si="21"/>
        <v>63.892060401902995</v>
      </c>
      <c r="AO79" s="48"/>
      <c r="AV79" s="32"/>
    </row>
    <row r="80" spans="2:48" ht="16.5" thickBot="1" x14ac:dyDescent="0.3">
      <c r="B80" s="15">
        <v>77</v>
      </c>
      <c r="C80" s="16">
        <f t="shared" si="28"/>
        <v>46300</v>
      </c>
      <c r="D80" s="17">
        <f t="shared" si="23"/>
        <v>2026</v>
      </c>
      <c r="E80" s="18">
        <f t="shared" si="29"/>
        <v>5687.5600000000013</v>
      </c>
      <c r="F80" s="18">
        <v>64.67</v>
      </c>
      <c r="G80" s="19">
        <f t="shared" si="24"/>
        <v>1.1370429498765725E-2</v>
      </c>
      <c r="H80" s="18">
        <f t="shared" si="32"/>
        <v>0</v>
      </c>
      <c r="I80" s="18">
        <f t="shared" si="25"/>
        <v>5752.2300000000014</v>
      </c>
      <c r="K80" s="18">
        <f t="shared" si="19"/>
        <v>211.65818119137452</v>
      </c>
      <c r="L80" s="19">
        <v>2.5000000000000001E-2</v>
      </c>
      <c r="M80" s="18">
        <f t="shared" si="26"/>
        <v>0</v>
      </c>
      <c r="N80" s="18">
        <f t="shared" si="30"/>
        <v>8677.9854288463557</v>
      </c>
      <c r="P80" s="20">
        <f t="shared" si="31"/>
        <v>3742.05</v>
      </c>
      <c r="Q80" s="59"/>
      <c r="R80" s="22"/>
      <c r="S80" s="18">
        <f t="shared" si="22"/>
        <v>0</v>
      </c>
      <c r="T80" s="18">
        <f t="shared" si="27"/>
        <v>3742.05</v>
      </c>
      <c r="U80" s="106">
        <f>IF(SUM($U$4:U79)=1,0,IF(SUM($Q$4:Q80)&gt;39891.29,1,0))</f>
        <v>0</v>
      </c>
      <c r="V80" s="23"/>
      <c r="W80" s="23"/>
      <c r="X80" s="23"/>
      <c r="Y80" s="23"/>
      <c r="AA80" s="51"/>
      <c r="AB80" s="51"/>
      <c r="AC80" s="52"/>
      <c r="AD80" s="52"/>
      <c r="AE80" s="51"/>
      <c r="AF80" s="53"/>
      <c r="AG80" s="54"/>
      <c r="AH80" s="52"/>
      <c r="AI80" s="28"/>
      <c r="AJ80" s="55"/>
      <c r="AL80" s="32">
        <f t="shared" si="20"/>
        <v>2619.5744764780229</v>
      </c>
      <c r="AM80" s="102">
        <f t="shared" si="18"/>
        <v>2.5000000000000001E-2</v>
      </c>
      <c r="AN80" s="32">
        <f t="shared" si="21"/>
        <v>65.489361911950581</v>
      </c>
      <c r="AO80" s="67"/>
      <c r="AV80" s="32"/>
    </row>
    <row r="81" spans="2:48" ht="16.5" thickBot="1" x14ac:dyDescent="0.3">
      <c r="B81" s="33">
        <v>78</v>
      </c>
      <c r="C81" s="34">
        <f t="shared" si="28"/>
        <v>46307</v>
      </c>
      <c r="D81" s="35">
        <f t="shared" si="23"/>
        <v>2026</v>
      </c>
      <c r="E81" s="36">
        <f t="shared" si="29"/>
        <v>5752.2300000000014</v>
      </c>
      <c r="F81" s="36">
        <v>66.61</v>
      </c>
      <c r="G81" s="37">
        <f t="shared" si="24"/>
        <v>1.1579856855515163E-2</v>
      </c>
      <c r="H81" s="36">
        <f t="shared" si="32"/>
        <v>100</v>
      </c>
      <c r="I81" s="36">
        <f t="shared" si="25"/>
        <v>5918.8400000000011</v>
      </c>
      <c r="K81" s="36">
        <f t="shared" si="19"/>
        <v>216.9496357211589</v>
      </c>
      <c r="L81" s="37">
        <v>2.5000000000000001E-2</v>
      </c>
      <c r="M81" s="36">
        <f t="shared" si="26"/>
        <v>100</v>
      </c>
      <c r="N81" s="36">
        <f t="shared" si="30"/>
        <v>8994.9350645675149</v>
      </c>
      <c r="P81" s="38">
        <f t="shared" si="31"/>
        <v>3742.05</v>
      </c>
      <c r="Q81" s="56"/>
      <c r="R81" s="40"/>
      <c r="S81" s="36">
        <f t="shared" si="22"/>
        <v>100</v>
      </c>
      <c r="T81" s="36">
        <f t="shared" si="27"/>
        <v>3842.05</v>
      </c>
      <c r="U81" s="41">
        <f>IF(SUM($U$4:U80)=1,0,IF(SUM($Q$4:Q81)&gt;39891.29,1,0))</f>
        <v>0</v>
      </c>
      <c r="V81" s="36"/>
      <c r="W81" s="36"/>
      <c r="X81" s="36"/>
      <c r="Y81" s="36"/>
      <c r="AA81" s="42"/>
      <c r="AB81" s="42"/>
      <c r="AC81" s="43"/>
      <c r="AD81" s="43"/>
      <c r="AE81" s="42"/>
      <c r="AF81" s="44"/>
      <c r="AG81" s="45"/>
      <c r="AH81" s="43"/>
      <c r="AI81" s="46"/>
      <c r="AJ81" s="47"/>
      <c r="AL81" s="32">
        <f t="shared" si="20"/>
        <v>2685.0638383899736</v>
      </c>
      <c r="AM81" s="102">
        <f t="shared" si="18"/>
        <v>2.5000000000000001E-2</v>
      </c>
      <c r="AN81" s="32">
        <f t="shared" si="21"/>
        <v>67.126595959749338</v>
      </c>
      <c r="AO81" s="48"/>
      <c r="AV81" s="32"/>
    </row>
    <row r="82" spans="2:48" ht="16.5" thickBot="1" x14ac:dyDescent="0.3">
      <c r="B82" s="15">
        <v>79</v>
      </c>
      <c r="C82" s="16">
        <f t="shared" si="28"/>
        <v>46314</v>
      </c>
      <c r="D82" s="17">
        <f t="shared" si="23"/>
        <v>2026</v>
      </c>
      <c r="E82" s="18">
        <f t="shared" si="29"/>
        <v>5918.8400000000011</v>
      </c>
      <c r="F82" s="18">
        <v>68.61</v>
      </c>
      <c r="G82" s="19">
        <f t="shared" si="24"/>
        <v>1.1591798392928341E-2</v>
      </c>
      <c r="H82" s="18">
        <f t="shared" si="32"/>
        <v>0</v>
      </c>
      <c r="I82" s="18">
        <f t="shared" si="25"/>
        <v>5987.4500000000007</v>
      </c>
      <c r="K82" s="18">
        <f t="shared" si="19"/>
        <v>224.87337661418789</v>
      </c>
      <c r="L82" s="19">
        <v>2.5000000000000001E-2</v>
      </c>
      <c r="M82" s="18">
        <f t="shared" si="26"/>
        <v>0</v>
      </c>
      <c r="N82" s="18">
        <f t="shared" si="30"/>
        <v>9219.8084411817035</v>
      </c>
      <c r="P82" s="20">
        <f t="shared" si="31"/>
        <v>3842.05</v>
      </c>
      <c r="Q82" s="59"/>
      <c r="R82" s="22"/>
      <c r="S82" s="18">
        <f t="shared" si="22"/>
        <v>0</v>
      </c>
      <c r="T82" s="18">
        <f t="shared" si="27"/>
        <v>3842.05</v>
      </c>
      <c r="U82" s="41">
        <f>IF(SUM($U$4:U81)=1,0,IF(SUM($Q$4:Q82)&gt;39891.29,1,0))</f>
        <v>0</v>
      </c>
      <c r="V82" s="23"/>
      <c r="W82" s="23"/>
      <c r="X82" s="23"/>
      <c r="Y82" s="23"/>
      <c r="AA82" s="51"/>
      <c r="AB82" s="51"/>
      <c r="AC82" s="52"/>
      <c r="AD82" s="52"/>
      <c r="AE82" s="51"/>
      <c r="AF82" s="53"/>
      <c r="AG82" s="54"/>
      <c r="AH82" s="52"/>
      <c r="AI82" s="28"/>
      <c r="AJ82" s="55"/>
      <c r="AL82" s="32">
        <f t="shared" si="20"/>
        <v>2752.1904343497231</v>
      </c>
      <c r="AM82" s="102">
        <f t="shared" si="18"/>
        <v>2.5000000000000001E-2</v>
      </c>
      <c r="AN82" s="32">
        <f t="shared" si="21"/>
        <v>68.80476085874308</v>
      </c>
      <c r="AO82" s="67"/>
      <c r="AV82" s="32"/>
    </row>
    <row r="83" spans="2:48" ht="16.5" thickBot="1" x14ac:dyDescent="0.3">
      <c r="B83" s="33">
        <v>80</v>
      </c>
      <c r="C83" s="34">
        <f t="shared" si="28"/>
        <v>46321</v>
      </c>
      <c r="D83" s="35">
        <f t="shared" si="23"/>
        <v>2026</v>
      </c>
      <c r="E83" s="36">
        <f t="shared" si="29"/>
        <v>5987.4500000000007</v>
      </c>
      <c r="F83" s="36">
        <v>70.66</v>
      </c>
      <c r="G83" s="37">
        <f t="shared" si="24"/>
        <v>1.1801351159508637E-2</v>
      </c>
      <c r="H83" s="36">
        <f t="shared" si="32"/>
        <v>100</v>
      </c>
      <c r="I83" s="36">
        <f t="shared" si="25"/>
        <v>6158.1100000000006</v>
      </c>
      <c r="K83" s="36">
        <f t="shared" si="19"/>
        <v>230.49521102954259</v>
      </c>
      <c r="L83" s="37">
        <v>2.5000000000000001E-2</v>
      </c>
      <c r="M83" s="36">
        <f t="shared" si="26"/>
        <v>100</v>
      </c>
      <c r="N83" s="36">
        <f t="shared" si="30"/>
        <v>9550.3036522112452</v>
      </c>
      <c r="P83" s="38">
        <f t="shared" si="31"/>
        <v>3842.05</v>
      </c>
      <c r="Q83" s="56"/>
      <c r="R83" s="40"/>
      <c r="S83" s="36">
        <f t="shared" si="22"/>
        <v>100</v>
      </c>
      <c r="T83" s="36">
        <f t="shared" si="27"/>
        <v>3942.05</v>
      </c>
      <c r="U83" s="41">
        <f>IF(SUM($U$4:U82)=1,0,IF(SUM($Q$4:Q83)&gt;39891.29,1,0))</f>
        <v>0</v>
      </c>
      <c r="V83" s="36"/>
      <c r="W83" s="36"/>
      <c r="X83" s="36"/>
      <c r="Y83" s="36"/>
      <c r="AA83" s="42"/>
      <c r="AB83" s="42"/>
      <c r="AC83" s="43"/>
      <c r="AD83" s="43"/>
      <c r="AE83" s="42"/>
      <c r="AF83" s="44"/>
      <c r="AG83" s="45"/>
      <c r="AH83" s="43"/>
      <c r="AI83" s="46"/>
      <c r="AJ83" s="47"/>
      <c r="AL83" s="32">
        <f t="shared" si="20"/>
        <v>2820.9951952084662</v>
      </c>
      <c r="AM83" s="102">
        <f t="shared" si="18"/>
        <v>2.5000000000000001E-2</v>
      </c>
      <c r="AN83" s="32">
        <f t="shared" si="21"/>
        <v>70.524879880211657</v>
      </c>
      <c r="AO83" s="48"/>
      <c r="AV83" s="32"/>
    </row>
    <row r="84" spans="2:48" ht="16.5" thickBot="1" x14ac:dyDescent="0.3">
      <c r="B84" s="15">
        <v>81</v>
      </c>
      <c r="C84" s="16">
        <f t="shared" si="28"/>
        <v>46328</v>
      </c>
      <c r="D84" s="17">
        <f t="shared" si="23"/>
        <v>2026</v>
      </c>
      <c r="E84" s="18">
        <f t="shared" si="29"/>
        <v>6158.1100000000006</v>
      </c>
      <c r="F84" s="18">
        <v>72.78</v>
      </c>
      <c r="G84" s="19">
        <f t="shared" si="24"/>
        <v>1.1818561214398572E-2</v>
      </c>
      <c r="H84" s="18">
        <f t="shared" si="32"/>
        <v>0</v>
      </c>
      <c r="I84" s="18">
        <f t="shared" si="25"/>
        <v>6230.89</v>
      </c>
      <c r="K84" s="18">
        <f t="shared" si="19"/>
        <v>238.75759130528115</v>
      </c>
      <c r="L84" s="19">
        <v>2.5000000000000001E-2</v>
      </c>
      <c r="M84" s="18">
        <f t="shared" si="26"/>
        <v>0</v>
      </c>
      <c r="N84" s="18">
        <f t="shared" si="30"/>
        <v>9789.0612435165258</v>
      </c>
      <c r="P84" s="20">
        <f t="shared" si="31"/>
        <v>3942.05</v>
      </c>
      <c r="Q84" s="59"/>
      <c r="R84" s="22"/>
      <c r="S84" s="18">
        <f t="shared" si="22"/>
        <v>0</v>
      </c>
      <c r="T84" s="18">
        <f t="shared" si="27"/>
        <v>3942.05</v>
      </c>
      <c r="U84" s="41">
        <f>IF(SUM($U$4:U83)=1,0,IF(SUM($Q$4:Q84)&gt;39891.29,1,0))</f>
        <v>0</v>
      </c>
      <c r="V84" s="23"/>
      <c r="W84" s="23"/>
      <c r="X84" s="23"/>
      <c r="Y84" s="23"/>
      <c r="AA84" s="51"/>
      <c r="AB84" s="51"/>
      <c r="AC84" s="52"/>
      <c r="AD84" s="52"/>
      <c r="AE84" s="51"/>
      <c r="AF84" s="53"/>
      <c r="AG84" s="54"/>
      <c r="AH84" s="52"/>
      <c r="AI84" s="28"/>
      <c r="AJ84" s="55"/>
      <c r="AL84" s="32">
        <f t="shared" si="20"/>
        <v>2891.5200750886779</v>
      </c>
      <c r="AM84" s="102">
        <f t="shared" si="18"/>
        <v>2.5000000000000001E-2</v>
      </c>
      <c r="AN84" s="32">
        <f t="shared" si="21"/>
        <v>72.288001877216956</v>
      </c>
      <c r="AO84" s="67"/>
      <c r="AV84" s="32"/>
    </row>
    <row r="85" spans="2:48" ht="16.5" thickBot="1" x14ac:dyDescent="0.3">
      <c r="B85" s="33">
        <v>82</v>
      </c>
      <c r="C85" s="34">
        <f t="shared" si="28"/>
        <v>46335</v>
      </c>
      <c r="D85" s="35">
        <f t="shared" si="23"/>
        <v>2026</v>
      </c>
      <c r="E85" s="36">
        <f t="shared" si="29"/>
        <v>6230.89</v>
      </c>
      <c r="F85" s="36">
        <v>74.97</v>
      </c>
      <c r="G85" s="37">
        <f t="shared" si="24"/>
        <v>1.2031989009595739E-2</v>
      </c>
      <c r="H85" s="36">
        <f t="shared" si="32"/>
        <v>100</v>
      </c>
      <c r="I85" s="36">
        <f t="shared" si="25"/>
        <v>6405.8600000000006</v>
      </c>
      <c r="K85" s="36">
        <f t="shared" si="19"/>
        <v>244.72653108791314</v>
      </c>
      <c r="L85" s="37">
        <v>2.5000000000000001E-2</v>
      </c>
      <c r="M85" s="36">
        <f t="shared" si="26"/>
        <v>100</v>
      </c>
      <c r="N85" s="36">
        <f t="shared" si="30"/>
        <v>10133.78777460444</v>
      </c>
      <c r="P85" s="38">
        <f t="shared" si="31"/>
        <v>3942.05</v>
      </c>
      <c r="Q85" s="56"/>
      <c r="R85" s="40"/>
      <c r="S85" s="36">
        <f t="shared" si="22"/>
        <v>100</v>
      </c>
      <c r="T85" s="36">
        <f t="shared" si="27"/>
        <v>4042.05</v>
      </c>
      <c r="U85" s="41">
        <f>IF(SUM($U$4:U84)=1,0,IF(SUM($Q$4:Q85)&gt;39891.29,1,0))</f>
        <v>0</v>
      </c>
      <c r="V85" s="36"/>
      <c r="W85" s="36"/>
      <c r="X85" s="36"/>
      <c r="Y85" s="36"/>
      <c r="AA85" s="42"/>
      <c r="AB85" s="42"/>
      <c r="AC85" s="43"/>
      <c r="AD85" s="43"/>
      <c r="AE85" s="42"/>
      <c r="AF85" s="44"/>
      <c r="AG85" s="45"/>
      <c r="AH85" s="43"/>
      <c r="AI85" s="46"/>
      <c r="AJ85" s="47"/>
      <c r="AL85" s="32">
        <f t="shared" si="20"/>
        <v>2963.808076965895</v>
      </c>
      <c r="AM85" s="102">
        <f t="shared" si="18"/>
        <v>2.5000000000000001E-2</v>
      </c>
      <c r="AN85" s="32">
        <f t="shared" si="21"/>
        <v>74.095201924147375</v>
      </c>
      <c r="AO85" s="48"/>
      <c r="AV85" s="32"/>
    </row>
    <row r="86" spans="2:48" ht="16.5" thickBot="1" x14ac:dyDescent="0.3">
      <c r="B86" s="15">
        <v>83</v>
      </c>
      <c r="C86" s="16">
        <f t="shared" si="28"/>
        <v>46342</v>
      </c>
      <c r="D86" s="17">
        <f t="shared" si="23"/>
        <v>2026</v>
      </c>
      <c r="E86" s="18">
        <f t="shared" si="29"/>
        <v>6405.8600000000006</v>
      </c>
      <c r="F86" s="18">
        <v>77.22</v>
      </c>
      <c r="G86" s="19">
        <f t="shared" si="24"/>
        <v>1.2054587518303551E-2</v>
      </c>
      <c r="H86" s="18">
        <f t="shared" si="32"/>
        <v>0</v>
      </c>
      <c r="I86" s="18">
        <f t="shared" si="25"/>
        <v>6483.0800000000008</v>
      </c>
      <c r="K86" s="18">
        <f t="shared" si="19"/>
        <v>253.344694365111</v>
      </c>
      <c r="L86" s="19">
        <v>2.5000000000000001E-2</v>
      </c>
      <c r="M86" s="18">
        <f t="shared" si="26"/>
        <v>0</v>
      </c>
      <c r="N86" s="18">
        <f t="shared" si="30"/>
        <v>10387.13246896955</v>
      </c>
      <c r="P86" s="20">
        <f t="shared" si="31"/>
        <v>4042.05</v>
      </c>
      <c r="Q86" s="59"/>
      <c r="R86" s="22"/>
      <c r="S86" s="18">
        <f t="shared" si="22"/>
        <v>0</v>
      </c>
      <c r="T86" s="18">
        <f t="shared" si="27"/>
        <v>4042.05</v>
      </c>
      <c r="U86" s="41">
        <f>IF(SUM($U$4:U85)=1,0,IF(SUM($Q$4:Q86)&gt;39891.29,1,0))</f>
        <v>0</v>
      </c>
      <c r="V86" s="23"/>
      <c r="W86" s="23"/>
      <c r="X86" s="23"/>
      <c r="Y86" s="23"/>
      <c r="AA86" s="51"/>
      <c r="AB86" s="51"/>
      <c r="AC86" s="52"/>
      <c r="AD86" s="52"/>
      <c r="AE86" s="51"/>
      <c r="AF86" s="53"/>
      <c r="AG86" s="54"/>
      <c r="AH86" s="52"/>
      <c r="AI86" s="28"/>
      <c r="AJ86" s="55"/>
      <c r="AL86" s="32">
        <f t="shared" si="20"/>
        <v>3037.9032788900422</v>
      </c>
      <c r="AM86" s="102">
        <f t="shared" si="18"/>
        <v>2.5000000000000001E-2</v>
      </c>
      <c r="AN86" s="32">
        <f t="shared" si="21"/>
        <v>75.947581972251058</v>
      </c>
      <c r="AO86" s="67"/>
      <c r="AV86" s="32"/>
    </row>
    <row r="87" spans="2:48" ht="16.5" thickBot="1" x14ac:dyDescent="0.3">
      <c r="B87" s="33">
        <v>84</v>
      </c>
      <c r="C87" s="34">
        <f t="shared" si="28"/>
        <v>46349</v>
      </c>
      <c r="D87" s="35">
        <f t="shared" si="23"/>
        <v>2026</v>
      </c>
      <c r="E87" s="36">
        <f t="shared" si="29"/>
        <v>6483.0800000000008</v>
      </c>
      <c r="F87" s="36">
        <v>79.53</v>
      </c>
      <c r="G87" s="37">
        <f t="shared" si="24"/>
        <v>1.2267317386180641E-2</v>
      </c>
      <c r="H87" s="36">
        <f t="shared" si="32"/>
        <v>100</v>
      </c>
      <c r="I87" s="36">
        <f t="shared" si="25"/>
        <v>6662.6100000000006</v>
      </c>
      <c r="K87" s="36">
        <f t="shared" si="19"/>
        <v>259.67831172423877</v>
      </c>
      <c r="L87" s="37">
        <v>2.5000000000000001E-2</v>
      </c>
      <c r="M87" s="36">
        <f t="shared" si="26"/>
        <v>100</v>
      </c>
      <c r="N87" s="36">
        <f t="shared" si="30"/>
        <v>10746.81078069379</v>
      </c>
      <c r="P87" s="38">
        <f t="shared" si="31"/>
        <v>4042.05</v>
      </c>
      <c r="Q87" s="56"/>
      <c r="R87" s="40"/>
      <c r="S87" s="36">
        <f t="shared" si="22"/>
        <v>100</v>
      </c>
      <c r="T87" s="36">
        <f t="shared" si="27"/>
        <v>4142.05</v>
      </c>
      <c r="U87" s="41">
        <f>IF(SUM($U$4:U86)=1,0,IF(SUM($Q$4:Q87)&gt;39891.29,1,0))</f>
        <v>0</v>
      </c>
      <c r="V87" s="36"/>
      <c r="W87" s="36"/>
      <c r="X87" s="36"/>
      <c r="Y87" s="36"/>
      <c r="AA87" s="42"/>
      <c r="AB87" s="42"/>
      <c r="AC87" s="43"/>
      <c r="AD87" s="43"/>
      <c r="AE87" s="42"/>
      <c r="AF87" s="44"/>
      <c r="AG87" s="45"/>
      <c r="AH87" s="43"/>
      <c r="AI87" s="46"/>
      <c r="AJ87" s="47"/>
      <c r="AL87" s="32">
        <f t="shared" si="20"/>
        <v>3113.8508608622933</v>
      </c>
      <c r="AM87" s="102">
        <f t="shared" si="18"/>
        <v>2.5000000000000001E-2</v>
      </c>
      <c r="AN87" s="32">
        <f t="shared" si="21"/>
        <v>77.846271521557341</v>
      </c>
      <c r="AO87" s="48"/>
      <c r="AV87" s="32"/>
    </row>
    <row r="88" spans="2:48" ht="16.5" thickBot="1" x14ac:dyDescent="0.3">
      <c r="B88" s="15">
        <v>85</v>
      </c>
      <c r="C88" s="16">
        <f t="shared" si="28"/>
        <v>46356</v>
      </c>
      <c r="D88" s="17">
        <f t="shared" si="23"/>
        <v>2026</v>
      </c>
      <c r="E88" s="18">
        <f t="shared" si="29"/>
        <v>6662.6100000000006</v>
      </c>
      <c r="F88" s="18">
        <v>81.92</v>
      </c>
      <c r="G88" s="19">
        <f t="shared" si="24"/>
        <v>1.229548180067571E-2</v>
      </c>
      <c r="H88" s="18">
        <f t="shared" si="32"/>
        <v>0</v>
      </c>
      <c r="I88" s="18">
        <f t="shared" si="25"/>
        <v>6744.5300000000007</v>
      </c>
      <c r="K88" s="18">
        <f t="shared" si="19"/>
        <v>268.67026951734476</v>
      </c>
      <c r="L88" s="19">
        <v>2.5000000000000001E-2</v>
      </c>
      <c r="M88" s="18">
        <f t="shared" si="26"/>
        <v>0</v>
      </c>
      <c r="N88" s="18">
        <f t="shared" si="30"/>
        <v>11015.481050211134</v>
      </c>
      <c r="P88" s="20">
        <f t="shared" si="31"/>
        <v>4142.05</v>
      </c>
      <c r="Q88" s="59"/>
      <c r="R88" s="22"/>
      <c r="S88" s="18">
        <f t="shared" si="22"/>
        <v>0</v>
      </c>
      <c r="T88" s="18">
        <f t="shared" si="27"/>
        <v>4142.05</v>
      </c>
      <c r="U88" s="41">
        <f>IF(SUM($U$4:U87)=1,0,IF(SUM($Q$4:Q88)&gt;39891.29,1,0))</f>
        <v>0</v>
      </c>
      <c r="V88" s="23"/>
      <c r="W88" s="23"/>
      <c r="X88" s="23"/>
      <c r="Y88" s="23"/>
      <c r="AA88" s="51"/>
      <c r="AB88" s="51"/>
      <c r="AC88" s="52"/>
      <c r="AD88" s="52"/>
      <c r="AE88" s="51"/>
      <c r="AF88" s="53"/>
      <c r="AG88" s="54"/>
      <c r="AH88" s="52"/>
      <c r="AI88" s="28"/>
      <c r="AJ88" s="55"/>
      <c r="AL88" s="32">
        <f t="shared" si="20"/>
        <v>3191.6971323838507</v>
      </c>
      <c r="AM88" s="102">
        <f t="shared" si="18"/>
        <v>2.5000000000000001E-2</v>
      </c>
      <c r="AN88" s="32">
        <f t="shared" si="21"/>
        <v>79.792428309596275</v>
      </c>
      <c r="AO88" s="67"/>
      <c r="AV88" s="32"/>
    </row>
    <row r="89" spans="2:48" ht="16.5" thickBot="1" x14ac:dyDescent="0.3">
      <c r="B89" s="33">
        <v>86</v>
      </c>
      <c r="C89" s="34">
        <f t="shared" si="28"/>
        <v>46363</v>
      </c>
      <c r="D89" s="35">
        <f t="shared" si="23"/>
        <v>2026</v>
      </c>
      <c r="E89" s="36">
        <f t="shared" si="29"/>
        <v>6744.5300000000007</v>
      </c>
      <c r="F89" s="36">
        <v>84.38</v>
      </c>
      <c r="G89" s="37">
        <f t="shared" si="24"/>
        <v>1.2510879186540794E-2</v>
      </c>
      <c r="H89" s="36">
        <f t="shared" si="32"/>
        <v>100</v>
      </c>
      <c r="I89" s="36">
        <f t="shared" si="25"/>
        <v>6928.9100000000008</v>
      </c>
      <c r="K89" s="36">
        <f t="shared" si="19"/>
        <v>275.38702625527839</v>
      </c>
      <c r="L89" s="37">
        <v>2.5000000000000001E-2</v>
      </c>
      <c r="M89" s="36">
        <f t="shared" si="26"/>
        <v>100</v>
      </c>
      <c r="N89" s="36">
        <f t="shared" si="30"/>
        <v>11390.868076466413</v>
      </c>
      <c r="P89" s="38">
        <f t="shared" si="31"/>
        <v>4142.05</v>
      </c>
      <c r="Q89" s="56"/>
      <c r="R89" s="40"/>
      <c r="S89" s="36">
        <f t="shared" si="22"/>
        <v>100</v>
      </c>
      <c r="T89" s="36">
        <f t="shared" si="27"/>
        <v>4242.05</v>
      </c>
      <c r="U89" s="41">
        <f>IF(SUM($U$4:U88)=1,0,IF(SUM($Q$4:Q89)&gt;39891.29,1,0))</f>
        <v>0</v>
      </c>
      <c r="V89" s="36"/>
      <c r="W89" s="36"/>
      <c r="X89" s="36"/>
      <c r="Y89" s="36"/>
      <c r="AA89" s="42"/>
      <c r="AB89" s="42"/>
      <c r="AC89" s="43"/>
      <c r="AD89" s="43"/>
      <c r="AE89" s="42"/>
      <c r="AF89" s="44"/>
      <c r="AG89" s="45"/>
      <c r="AH89" s="43"/>
      <c r="AI89" s="46"/>
      <c r="AJ89" s="47"/>
      <c r="AL89" s="32">
        <f t="shared" si="20"/>
        <v>3271.4895606934469</v>
      </c>
      <c r="AM89" s="102">
        <f t="shared" si="18"/>
        <v>2.5000000000000001E-2</v>
      </c>
      <c r="AN89" s="32">
        <f t="shared" si="21"/>
        <v>81.787239017336177</v>
      </c>
      <c r="AO89" s="48"/>
      <c r="AV89" s="32"/>
    </row>
    <row r="90" spans="2:48" ht="16.5" thickBot="1" x14ac:dyDescent="0.3">
      <c r="B90" s="15">
        <v>87</v>
      </c>
      <c r="C90" s="16">
        <f t="shared" si="28"/>
        <v>46370</v>
      </c>
      <c r="D90" s="17">
        <f t="shared" si="23"/>
        <v>2026</v>
      </c>
      <c r="E90" s="18">
        <f t="shared" si="29"/>
        <v>6928.9100000000008</v>
      </c>
      <c r="F90" s="18">
        <v>86.91</v>
      </c>
      <c r="G90" s="19">
        <f t="shared" si="24"/>
        <v>1.2543098409417929E-2</v>
      </c>
      <c r="H90" s="18">
        <f t="shared" si="32"/>
        <v>0</v>
      </c>
      <c r="I90" s="18">
        <f t="shared" si="25"/>
        <v>7015.8200000000006</v>
      </c>
      <c r="K90" s="18">
        <f t="shared" si="19"/>
        <v>284.77170191166033</v>
      </c>
      <c r="L90" s="19">
        <v>2.5000000000000001E-2</v>
      </c>
      <c r="M90" s="18">
        <f t="shared" si="26"/>
        <v>0</v>
      </c>
      <c r="N90" s="18">
        <f t="shared" si="30"/>
        <v>11675.639778378074</v>
      </c>
      <c r="P90" s="20">
        <f t="shared" si="31"/>
        <v>4242.05</v>
      </c>
      <c r="Q90" s="59"/>
      <c r="R90" s="22"/>
      <c r="S90" s="18">
        <f t="shared" si="22"/>
        <v>0</v>
      </c>
      <c r="T90" s="18">
        <f t="shared" si="27"/>
        <v>4242.05</v>
      </c>
      <c r="U90" s="41">
        <f>IF(SUM($U$4:U89)=1,0,IF(SUM($Q$4:Q90)&gt;39891.29,1,0))</f>
        <v>0</v>
      </c>
      <c r="V90" s="23"/>
      <c r="W90" s="23"/>
      <c r="X90" s="23"/>
      <c r="Y90" s="23"/>
      <c r="AA90" s="51"/>
      <c r="AB90" s="51"/>
      <c r="AC90" s="52"/>
      <c r="AD90" s="52"/>
      <c r="AE90" s="51"/>
      <c r="AF90" s="53"/>
      <c r="AG90" s="54"/>
      <c r="AH90" s="52"/>
      <c r="AI90" s="28"/>
      <c r="AJ90" s="55"/>
      <c r="AL90" s="32">
        <f t="shared" si="20"/>
        <v>3353.2767997107831</v>
      </c>
      <c r="AM90" s="102">
        <f t="shared" si="18"/>
        <v>2.5000000000000001E-2</v>
      </c>
      <c r="AN90" s="32">
        <f t="shared" si="21"/>
        <v>83.831919992769585</v>
      </c>
      <c r="AO90" s="67"/>
      <c r="AV90" s="32"/>
    </row>
    <row r="91" spans="2:48" ht="16.5" thickBot="1" x14ac:dyDescent="0.3">
      <c r="B91" s="33">
        <v>88</v>
      </c>
      <c r="C91" s="34">
        <f t="shared" si="28"/>
        <v>46377</v>
      </c>
      <c r="D91" s="35">
        <f t="shared" si="23"/>
        <v>2026</v>
      </c>
      <c r="E91" s="36">
        <f t="shared" si="29"/>
        <v>7015.8200000000006</v>
      </c>
      <c r="F91" s="36">
        <v>89.51</v>
      </c>
      <c r="G91" s="37">
        <f t="shared" si="24"/>
        <v>1.2758309078625164E-2</v>
      </c>
      <c r="H91" s="36">
        <f t="shared" si="32"/>
        <v>100</v>
      </c>
      <c r="I91" s="36">
        <f t="shared" si="25"/>
        <v>7205.3300000000008</v>
      </c>
      <c r="K91" s="36">
        <f t="shared" si="19"/>
        <v>291.89099445945186</v>
      </c>
      <c r="L91" s="37">
        <v>2.5000000000000001E-2</v>
      </c>
      <c r="M91" s="36">
        <f t="shared" si="26"/>
        <v>100</v>
      </c>
      <c r="N91" s="36">
        <f t="shared" si="30"/>
        <v>12067.530772837526</v>
      </c>
      <c r="P91" s="38">
        <f t="shared" si="31"/>
        <v>4242.05</v>
      </c>
      <c r="Q91" s="56"/>
      <c r="R91" s="40"/>
      <c r="S91" s="36">
        <f t="shared" si="22"/>
        <v>100</v>
      </c>
      <c r="T91" s="36">
        <f t="shared" si="27"/>
        <v>4342.05</v>
      </c>
      <c r="U91" s="41">
        <f>IF(SUM($U$4:U90)=1,0,IF(SUM($Q$4:Q91)&gt;39891.29,1,0))</f>
        <v>0</v>
      </c>
      <c r="V91" s="36"/>
      <c r="W91" s="36"/>
      <c r="X91" s="36"/>
      <c r="Y91" s="36"/>
      <c r="AA91" s="42"/>
      <c r="AB91" s="42"/>
      <c r="AC91" s="43"/>
      <c r="AD91" s="43"/>
      <c r="AE91" s="42"/>
      <c r="AF91" s="44"/>
      <c r="AG91" s="45"/>
      <c r="AH91" s="43"/>
      <c r="AI91" s="46"/>
      <c r="AJ91" s="47"/>
      <c r="AL91" s="32">
        <f t="shared" si="20"/>
        <v>3437.1087197035527</v>
      </c>
      <c r="AM91" s="102">
        <f t="shared" si="18"/>
        <v>2.5000000000000001E-2</v>
      </c>
      <c r="AN91" s="32">
        <f t="shared" si="21"/>
        <v>85.927717992588825</v>
      </c>
      <c r="AO91" s="48"/>
      <c r="AV91" s="32"/>
    </row>
    <row r="92" spans="2:48" ht="16.5" thickBot="1" x14ac:dyDescent="0.3">
      <c r="B92" s="72">
        <v>89</v>
      </c>
      <c r="C92" s="73">
        <f t="shared" si="28"/>
        <v>46384</v>
      </c>
      <c r="D92" s="74">
        <f t="shared" si="23"/>
        <v>2026</v>
      </c>
      <c r="E92" s="75">
        <f t="shared" si="29"/>
        <v>7205.3300000000008</v>
      </c>
      <c r="F92" s="75">
        <v>92.2</v>
      </c>
      <c r="G92" s="76">
        <f t="shared" si="24"/>
        <v>1.2796082899742272E-2</v>
      </c>
      <c r="H92" s="75">
        <f t="shared" si="32"/>
        <v>0</v>
      </c>
      <c r="I92" s="75">
        <f t="shared" si="25"/>
        <v>7297.5300000000007</v>
      </c>
      <c r="K92" s="75">
        <f t="shared" si="19"/>
        <v>301.68826932093816</v>
      </c>
      <c r="L92" s="76">
        <v>2.5000000000000001E-2</v>
      </c>
      <c r="M92" s="75">
        <f t="shared" si="26"/>
        <v>0</v>
      </c>
      <c r="N92" s="75">
        <f t="shared" si="30"/>
        <v>12369.219042158464</v>
      </c>
      <c r="P92" s="77">
        <f t="shared" si="31"/>
        <v>4342.05</v>
      </c>
      <c r="Q92" s="78"/>
      <c r="R92" s="79"/>
      <c r="S92" s="75">
        <f t="shared" si="22"/>
        <v>0</v>
      </c>
      <c r="T92" s="75">
        <f t="shared" si="27"/>
        <v>4342.05</v>
      </c>
      <c r="U92" s="41">
        <f>IF(SUM($U$4:U91)=1,0,IF(SUM($Q$4:Q92)&gt;39891.29,1,0))</f>
        <v>0</v>
      </c>
      <c r="V92" s="80"/>
      <c r="W92" s="80"/>
      <c r="X92" s="80"/>
      <c r="Y92" s="80"/>
      <c r="AA92" s="107"/>
      <c r="AB92" s="107"/>
      <c r="AC92" s="108"/>
      <c r="AD92" s="108"/>
      <c r="AE92" s="107"/>
      <c r="AF92" s="109"/>
      <c r="AG92" s="110"/>
      <c r="AH92" s="108"/>
      <c r="AI92" s="111"/>
      <c r="AJ92" s="112"/>
      <c r="AL92" s="32">
        <f t="shared" si="20"/>
        <v>3523.0364376961415</v>
      </c>
      <c r="AM92" s="102">
        <f t="shared" si="18"/>
        <v>2.5000000000000001E-2</v>
      </c>
      <c r="AN92" s="32">
        <f t="shared" si="21"/>
        <v>88.075910942403539</v>
      </c>
      <c r="AO92" s="67"/>
      <c r="AV92" s="32"/>
    </row>
    <row r="93" spans="2:48" ht="16.5" thickBot="1" x14ac:dyDescent="0.3">
      <c r="B93" s="88">
        <v>90</v>
      </c>
      <c r="C93" s="89">
        <f t="shared" si="28"/>
        <v>46391</v>
      </c>
      <c r="D93" s="90">
        <f t="shared" si="23"/>
        <v>2027</v>
      </c>
      <c r="E93" s="91">
        <f t="shared" si="29"/>
        <v>7297.5300000000007</v>
      </c>
      <c r="F93" s="91">
        <v>94.97</v>
      </c>
      <c r="G93" s="92">
        <f t="shared" si="24"/>
        <v>1.3013992405649582E-2</v>
      </c>
      <c r="H93" s="91">
        <f t="shared" si="32"/>
        <v>100</v>
      </c>
      <c r="I93" s="91">
        <f t="shared" si="25"/>
        <v>7492.5000000000009</v>
      </c>
      <c r="K93" s="91">
        <f t="shared" si="19"/>
        <v>309.23047605396164</v>
      </c>
      <c r="L93" s="92">
        <v>2.5000000000000001E-2</v>
      </c>
      <c r="M93" s="91">
        <f t="shared" si="26"/>
        <v>100</v>
      </c>
      <c r="N93" s="91">
        <f t="shared" si="30"/>
        <v>12778.449518212425</v>
      </c>
      <c r="P93" s="93">
        <f t="shared" si="31"/>
        <v>4342.05</v>
      </c>
      <c r="Q93" s="94"/>
      <c r="R93" s="95"/>
      <c r="S93" s="91">
        <f>S91</f>
        <v>100</v>
      </c>
      <c r="T93" s="91">
        <f t="shared" si="27"/>
        <v>4442.05</v>
      </c>
      <c r="U93" s="41">
        <f>IF(SUM($U$4:U92)=1,0,IF(SUM($Q$4:Q93)&gt;39891.29,1,0))</f>
        <v>0</v>
      </c>
      <c r="V93" s="91"/>
      <c r="W93" s="91"/>
      <c r="X93" s="91"/>
      <c r="Y93" s="91"/>
      <c r="AA93" s="96"/>
      <c r="AB93" s="96"/>
      <c r="AC93" s="97"/>
      <c r="AD93" s="97"/>
      <c r="AE93" s="96"/>
      <c r="AF93" s="98"/>
      <c r="AG93" s="99"/>
      <c r="AH93" s="97"/>
      <c r="AI93" s="100"/>
      <c r="AJ93" s="113"/>
      <c r="AL93" s="32">
        <f>AL92+AN92</f>
        <v>3611.112348638545</v>
      </c>
      <c r="AM93" s="102">
        <f>SUM(AM41:AM92)</f>
        <v>1.2999999999999994</v>
      </c>
      <c r="AO93" s="48"/>
      <c r="AV93" s="32"/>
    </row>
    <row r="94" spans="2:48" ht="16.5" thickBot="1" x14ac:dyDescent="0.3">
      <c r="B94" s="15">
        <v>91</v>
      </c>
      <c r="C94" s="16">
        <f t="shared" si="28"/>
        <v>46398</v>
      </c>
      <c r="D94" s="17">
        <f t="shared" si="23"/>
        <v>2027</v>
      </c>
      <c r="E94" s="18">
        <f t="shared" si="29"/>
        <v>7492.5000000000009</v>
      </c>
      <c r="F94" s="18">
        <v>97.82</v>
      </c>
      <c r="G94" s="19">
        <f t="shared" si="24"/>
        <v>1.305572238905572E-2</v>
      </c>
      <c r="H94" s="18">
        <f t="shared" si="32"/>
        <v>0</v>
      </c>
      <c r="I94" s="18">
        <f t="shared" si="25"/>
        <v>7590.3200000000006</v>
      </c>
      <c r="K94" s="18">
        <f t="shared" si="19"/>
        <v>319.46123795531065</v>
      </c>
      <c r="L94" s="19">
        <v>2.5000000000000001E-2</v>
      </c>
      <c r="M94" s="18">
        <f t="shared" si="26"/>
        <v>0</v>
      </c>
      <c r="N94" s="18">
        <f t="shared" si="30"/>
        <v>13097.910756167736</v>
      </c>
      <c r="P94" s="20">
        <f t="shared" si="31"/>
        <v>4442.05</v>
      </c>
      <c r="Q94" s="59"/>
      <c r="R94" s="22"/>
      <c r="S94" s="18">
        <f t="shared" si="22"/>
        <v>0</v>
      </c>
      <c r="T94" s="18">
        <f t="shared" si="27"/>
        <v>4442.05</v>
      </c>
      <c r="U94" s="41">
        <f>IF(SUM($U$4:U93)=1,0,IF(SUM($Q$4:Q94)&gt;39891.29,1,0))</f>
        <v>0</v>
      </c>
      <c r="V94" s="23"/>
      <c r="W94" s="23"/>
      <c r="X94" s="23"/>
      <c r="Y94" s="23"/>
      <c r="AA94" s="51"/>
      <c r="AB94" s="51"/>
      <c r="AC94" s="52"/>
      <c r="AD94" s="52"/>
      <c r="AE94" s="51"/>
      <c r="AF94" s="53"/>
      <c r="AG94" s="54"/>
      <c r="AH94" s="52"/>
      <c r="AI94" s="28"/>
      <c r="AJ94" s="55"/>
      <c r="AL94" s="114"/>
      <c r="AM94" s="102">
        <f>(AL93-AL41)/AL41</f>
        <v>2.611112348638545</v>
      </c>
      <c r="AV94" s="32"/>
    </row>
    <row r="95" spans="2:48" ht="16.5" thickBot="1" x14ac:dyDescent="0.3">
      <c r="B95" s="33">
        <v>92</v>
      </c>
      <c r="C95" s="34">
        <f t="shared" si="28"/>
        <v>46405</v>
      </c>
      <c r="D95" s="35">
        <f t="shared" si="23"/>
        <v>2027</v>
      </c>
      <c r="E95" s="36">
        <f t="shared" si="29"/>
        <v>7590.3200000000006</v>
      </c>
      <c r="F95" s="36">
        <v>100.75</v>
      </c>
      <c r="G95" s="37">
        <f t="shared" si="24"/>
        <v>1.3273485175855563E-2</v>
      </c>
      <c r="H95" s="36">
        <f t="shared" si="32"/>
        <v>100</v>
      </c>
      <c r="I95" s="36">
        <f t="shared" si="25"/>
        <v>7791.0700000000006</v>
      </c>
      <c r="K95" s="36">
        <f t="shared" si="19"/>
        <v>327.44776890419342</v>
      </c>
      <c r="L95" s="37">
        <v>2.5000000000000001E-2</v>
      </c>
      <c r="M95" s="36">
        <f t="shared" si="26"/>
        <v>100</v>
      </c>
      <c r="N95" s="36">
        <f>N94+K95+M95</f>
        <v>13525.35852507193</v>
      </c>
      <c r="P95" s="38">
        <f t="shared" si="31"/>
        <v>4442.05</v>
      </c>
      <c r="Q95" s="56"/>
      <c r="R95" s="40"/>
      <c r="S95" s="36">
        <f t="shared" si="22"/>
        <v>100</v>
      </c>
      <c r="T95" s="36">
        <f t="shared" si="27"/>
        <v>4542.05</v>
      </c>
      <c r="U95" s="41">
        <f>IF(SUM($U$4:U94)=1,0,IF(SUM($Q$4:Q95)&gt;39891.29,1,0))</f>
        <v>0</v>
      </c>
      <c r="V95" s="36"/>
      <c r="W95" s="36"/>
      <c r="X95" s="36"/>
      <c r="Y95" s="36"/>
      <c r="AA95" s="42"/>
      <c r="AB95" s="42"/>
      <c r="AC95" s="43"/>
      <c r="AD95" s="43"/>
      <c r="AE95" s="42"/>
      <c r="AF95" s="44"/>
      <c r="AG95" s="45"/>
      <c r="AH95" s="43"/>
      <c r="AI95" s="46"/>
      <c r="AJ95" s="47"/>
      <c r="AL95" s="114"/>
      <c r="AV95" s="32"/>
    </row>
    <row r="96" spans="2:48" ht="16.5" thickBot="1" x14ac:dyDescent="0.3">
      <c r="B96" s="15">
        <v>93</v>
      </c>
      <c r="C96" s="16">
        <f t="shared" si="28"/>
        <v>46412</v>
      </c>
      <c r="D96" s="17">
        <f t="shared" si="23"/>
        <v>2027</v>
      </c>
      <c r="E96" s="18">
        <f t="shared" si="29"/>
        <v>7791.0700000000006</v>
      </c>
      <c r="F96" s="18">
        <v>103.77</v>
      </c>
      <c r="G96" s="19">
        <f t="shared" si="24"/>
        <v>1.3319094809827146E-2</v>
      </c>
      <c r="H96" s="18">
        <f t="shared" si="32"/>
        <v>0</v>
      </c>
      <c r="I96" s="18">
        <f t="shared" si="25"/>
        <v>7894.8400000000011</v>
      </c>
      <c r="K96" s="18">
        <f t="shared" si="19"/>
        <v>338.13396312679828</v>
      </c>
      <c r="L96" s="19">
        <v>2.5000000000000001E-2</v>
      </c>
      <c r="M96" s="18">
        <f t="shared" si="26"/>
        <v>0</v>
      </c>
      <c r="N96" s="18">
        <f t="shared" si="30"/>
        <v>13863.492488198728</v>
      </c>
      <c r="P96" s="20">
        <f t="shared" si="31"/>
        <v>4542.05</v>
      </c>
      <c r="Q96" s="59"/>
      <c r="R96" s="22"/>
      <c r="S96" s="18">
        <f t="shared" si="22"/>
        <v>0</v>
      </c>
      <c r="T96" s="18">
        <f t="shared" si="27"/>
        <v>4542.05</v>
      </c>
      <c r="U96" s="41">
        <f>IF(SUM($U$4:U95)=1,0,IF(SUM($Q$4:Q96)&gt;39891.29,1,0))</f>
        <v>0</v>
      </c>
      <c r="V96" s="23"/>
      <c r="W96" s="23"/>
      <c r="X96" s="23"/>
      <c r="Y96" s="23"/>
      <c r="AA96" s="51"/>
      <c r="AB96" s="51"/>
      <c r="AC96" s="52"/>
      <c r="AD96" s="52"/>
      <c r="AE96" s="51"/>
      <c r="AF96" s="53"/>
      <c r="AG96" s="54"/>
      <c r="AH96" s="52"/>
      <c r="AI96" s="28"/>
      <c r="AJ96" s="55"/>
      <c r="AL96" s="114"/>
      <c r="AV96" s="32"/>
    </row>
    <row r="97" spans="2:48" ht="16.5" thickBot="1" x14ac:dyDescent="0.3">
      <c r="B97" s="33">
        <v>94</v>
      </c>
      <c r="C97" s="34">
        <f t="shared" si="28"/>
        <v>46419</v>
      </c>
      <c r="D97" s="35">
        <f t="shared" si="23"/>
        <v>2027</v>
      </c>
      <c r="E97" s="36">
        <f t="shared" si="29"/>
        <v>7894.8400000000011</v>
      </c>
      <c r="F97" s="36">
        <v>106.89</v>
      </c>
      <c r="G97" s="37">
        <f t="shared" si="24"/>
        <v>1.3539223087484989E-2</v>
      </c>
      <c r="H97" s="36">
        <f t="shared" si="32"/>
        <v>100</v>
      </c>
      <c r="I97" s="36">
        <f t="shared" si="25"/>
        <v>8101.7300000000014</v>
      </c>
      <c r="K97" s="36">
        <f t="shared" si="19"/>
        <v>346.58731220496821</v>
      </c>
      <c r="L97" s="37">
        <v>2.5000000000000001E-2</v>
      </c>
      <c r="M97" s="36">
        <f t="shared" si="26"/>
        <v>100</v>
      </c>
      <c r="N97" s="36">
        <f t="shared" si="30"/>
        <v>14310.079800403697</v>
      </c>
      <c r="P97" s="38">
        <f t="shared" si="31"/>
        <v>4542.05</v>
      </c>
      <c r="Q97" s="56"/>
      <c r="R97" s="40"/>
      <c r="S97" s="36">
        <f t="shared" si="22"/>
        <v>100</v>
      </c>
      <c r="T97" s="36">
        <f t="shared" si="27"/>
        <v>4642.05</v>
      </c>
      <c r="U97" s="41">
        <f>IF(SUM($U$4:U96)=1,0,IF(SUM($Q$4:Q97)&gt;39891.29,1,0))</f>
        <v>0</v>
      </c>
      <c r="V97" s="36"/>
      <c r="W97" s="36"/>
      <c r="X97" s="36"/>
      <c r="Y97" s="36"/>
      <c r="AA97" s="42"/>
      <c r="AB97" s="42"/>
      <c r="AC97" s="43"/>
      <c r="AD97" s="43"/>
      <c r="AE97" s="42"/>
      <c r="AF97" s="44"/>
      <c r="AG97" s="45"/>
      <c r="AH97" s="43"/>
      <c r="AI97" s="46"/>
      <c r="AJ97" s="47"/>
      <c r="AL97" s="114"/>
      <c r="AV97" s="32"/>
    </row>
    <row r="98" spans="2:48" ht="16.5" thickBot="1" x14ac:dyDescent="0.3">
      <c r="B98" s="15">
        <v>95</v>
      </c>
      <c r="C98" s="16">
        <f t="shared" si="28"/>
        <v>46426</v>
      </c>
      <c r="D98" s="17">
        <f t="shared" si="23"/>
        <v>2027</v>
      </c>
      <c r="E98" s="18">
        <f t="shared" si="29"/>
        <v>8101.7300000000014</v>
      </c>
      <c r="F98" s="18">
        <v>110.09</v>
      </c>
      <c r="G98" s="19">
        <f t="shared" si="24"/>
        <v>1.3588455798946643E-2</v>
      </c>
      <c r="H98" s="18">
        <f t="shared" si="32"/>
        <v>0</v>
      </c>
      <c r="I98" s="18">
        <f t="shared" si="25"/>
        <v>8211.8200000000015</v>
      </c>
      <c r="K98" s="18">
        <f t="shared" si="19"/>
        <v>357.75199501009246</v>
      </c>
      <c r="L98" s="19">
        <v>2.5000000000000001E-2</v>
      </c>
      <c r="M98" s="18">
        <f t="shared" si="26"/>
        <v>0</v>
      </c>
      <c r="N98" s="18">
        <f t="shared" si="30"/>
        <v>14667.831795413789</v>
      </c>
      <c r="P98" s="20">
        <f t="shared" si="31"/>
        <v>4642.05</v>
      </c>
      <c r="Q98" s="59"/>
      <c r="R98" s="22"/>
      <c r="S98" s="18">
        <f t="shared" si="22"/>
        <v>0</v>
      </c>
      <c r="T98" s="18">
        <f t="shared" si="27"/>
        <v>4642.05</v>
      </c>
      <c r="U98" s="41">
        <f>IF(SUM($U$4:U97)=1,0,IF(SUM($Q$4:Q98)&gt;39891.29,1,0))</f>
        <v>0</v>
      </c>
      <c r="V98" s="23"/>
      <c r="W98" s="23"/>
      <c r="X98" s="23"/>
      <c r="Y98" s="23"/>
      <c r="AA98" s="51"/>
      <c r="AB98" s="51"/>
      <c r="AC98" s="52"/>
      <c r="AD98" s="52"/>
      <c r="AE98" s="51"/>
      <c r="AF98" s="53"/>
      <c r="AG98" s="54"/>
      <c r="AH98" s="52"/>
      <c r="AI98" s="28"/>
      <c r="AJ98" s="55"/>
      <c r="AL98" s="114"/>
      <c r="AV98" s="32"/>
    </row>
    <row r="99" spans="2:48" ht="16.5" thickBot="1" x14ac:dyDescent="0.3">
      <c r="B99" s="33">
        <v>96</v>
      </c>
      <c r="C99" s="34">
        <f t="shared" si="28"/>
        <v>46433</v>
      </c>
      <c r="D99" s="35">
        <f t="shared" si="23"/>
        <v>2027</v>
      </c>
      <c r="E99" s="36">
        <f t="shared" si="29"/>
        <v>8211.8200000000015</v>
      </c>
      <c r="F99" s="36">
        <v>113.39</v>
      </c>
      <c r="G99" s="37">
        <f t="shared" si="24"/>
        <v>1.3808144844869953E-2</v>
      </c>
      <c r="H99" s="36">
        <f t="shared" si="32"/>
        <v>100</v>
      </c>
      <c r="I99" s="36">
        <f t="shared" si="25"/>
        <v>8425.2100000000009</v>
      </c>
      <c r="K99" s="36">
        <f t="shared" si="19"/>
        <v>366.69579488534475</v>
      </c>
      <c r="L99" s="37">
        <v>2.5000000000000001E-2</v>
      </c>
      <c r="M99" s="36">
        <f t="shared" si="26"/>
        <v>100</v>
      </c>
      <c r="N99" s="36">
        <f t="shared" si="30"/>
        <v>15134.527590299134</v>
      </c>
      <c r="P99" s="38">
        <f t="shared" si="31"/>
        <v>4642.05</v>
      </c>
      <c r="Q99" s="56"/>
      <c r="R99" s="40"/>
      <c r="S99" s="36">
        <f t="shared" si="22"/>
        <v>100</v>
      </c>
      <c r="T99" s="36">
        <f t="shared" si="27"/>
        <v>4742.05</v>
      </c>
      <c r="U99" s="41">
        <f>IF(SUM($U$4:U98)=1,0,IF(SUM($Q$4:Q99)&gt;39891.29,1,0))</f>
        <v>0</v>
      </c>
      <c r="V99" s="36"/>
      <c r="W99" s="36"/>
      <c r="X99" s="36"/>
      <c r="Y99" s="36"/>
      <c r="AA99" s="42"/>
      <c r="AB99" s="42"/>
      <c r="AC99" s="43"/>
      <c r="AD99" s="43"/>
      <c r="AE99" s="42"/>
      <c r="AF99" s="44"/>
      <c r="AG99" s="45"/>
      <c r="AH99" s="43"/>
      <c r="AI99" s="46"/>
      <c r="AJ99" s="47"/>
      <c r="AL99" s="114"/>
      <c r="AV99" s="32"/>
    </row>
    <row r="100" spans="2:48" ht="16.5" thickBot="1" x14ac:dyDescent="0.3">
      <c r="B100" s="15">
        <v>97</v>
      </c>
      <c r="C100" s="16">
        <f t="shared" si="28"/>
        <v>46440</v>
      </c>
      <c r="D100" s="17">
        <f t="shared" si="23"/>
        <v>2027</v>
      </c>
      <c r="E100" s="18">
        <f t="shared" si="29"/>
        <v>8425.2100000000009</v>
      </c>
      <c r="F100" s="18">
        <v>116.8</v>
      </c>
      <c r="G100" s="19">
        <f t="shared" si="24"/>
        <v>1.3863155933205223E-2</v>
      </c>
      <c r="H100" s="18">
        <f t="shared" si="32"/>
        <v>0</v>
      </c>
      <c r="I100" s="18">
        <f t="shared" si="25"/>
        <v>8542.01</v>
      </c>
      <c r="K100" s="18">
        <f t="shared" si="19"/>
        <v>378.36318975747838</v>
      </c>
      <c r="L100" s="19">
        <v>2.5000000000000001E-2</v>
      </c>
      <c r="M100" s="18">
        <f t="shared" si="26"/>
        <v>0</v>
      </c>
      <c r="N100" s="18">
        <f t="shared" si="30"/>
        <v>15512.890780056612</v>
      </c>
      <c r="P100" s="20">
        <f t="shared" si="31"/>
        <v>4742.05</v>
      </c>
      <c r="Q100" s="59"/>
      <c r="R100" s="22"/>
      <c r="S100" s="18">
        <f t="shared" si="22"/>
        <v>0</v>
      </c>
      <c r="T100" s="18">
        <f t="shared" si="27"/>
        <v>4742.05</v>
      </c>
      <c r="U100" s="41">
        <f>IF(SUM($U$4:U99)=1,0,IF(SUM($Q$4:Q100)&gt;39891.29,1,0))</f>
        <v>0</v>
      </c>
      <c r="V100" s="23"/>
      <c r="W100" s="23"/>
      <c r="X100" s="23"/>
      <c r="Y100" s="23"/>
      <c r="AA100" s="51"/>
      <c r="AB100" s="51"/>
      <c r="AC100" s="52"/>
      <c r="AD100" s="52"/>
      <c r="AE100" s="51"/>
      <c r="AF100" s="53"/>
      <c r="AG100" s="54"/>
      <c r="AH100" s="52"/>
      <c r="AI100" s="28"/>
      <c r="AJ100" s="55"/>
      <c r="AL100" s="114"/>
      <c r="AV100" s="32"/>
    </row>
    <row r="101" spans="2:48" ht="16.5" thickBot="1" x14ac:dyDescent="0.3">
      <c r="B101" s="33">
        <v>98</v>
      </c>
      <c r="C101" s="34">
        <f t="shared" si="28"/>
        <v>46447</v>
      </c>
      <c r="D101" s="35">
        <f t="shared" si="23"/>
        <v>2027</v>
      </c>
      <c r="E101" s="36">
        <f t="shared" si="29"/>
        <v>8542.01</v>
      </c>
      <c r="F101" s="36">
        <v>120.3</v>
      </c>
      <c r="G101" s="37">
        <f t="shared" si="24"/>
        <v>1.4083336357602016E-2</v>
      </c>
      <c r="H101" s="36">
        <f t="shared" si="32"/>
        <v>100</v>
      </c>
      <c r="I101" s="36">
        <f t="shared" si="25"/>
        <v>8762.31</v>
      </c>
      <c r="K101" s="36">
        <f t="shared" si="19"/>
        <v>387.82226950141535</v>
      </c>
      <c r="L101" s="37">
        <v>2.5000000000000001E-2</v>
      </c>
      <c r="M101" s="36">
        <f t="shared" si="26"/>
        <v>100</v>
      </c>
      <c r="N101" s="36">
        <f t="shared" si="30"/>
        <v>16000.713049558028</v>
      </c>
      <c r="P101" s="38">
        <f t="shared" si="31"/>
        <v>4742.05</v>
      </c>
      <c r="Q101" s="56"/>
      <c r="R101" s="40"/>
      <c r="S101" s="36">
        <f t="shared" si="22"/>
        <v>100</v>
      </c>
      <c r="T101" s="36">
        <f t="shared" si="27"/>
        <v>4842.05</v>
      </c>
      <c r="U101" s="41">
        <f>IF(SUM($U$4:U100)=1,0,IF(SUM($Q$4:Q101)&gt;39891.29,1,0))</f>
        <v>0</v>
      </c>
      <c r="V101" s="36"/>
      <c r="W101" s="36"/>
      <c r="X101" s="36"/>
      <c r="Y101" s="36"/>
      <c r="AA101" s="42"/>
      <c r="AB101" s="42"/>
      <c r="AC101" s="43"/>
      <c r="AD101" s="43"/>
      <c r="AE101" s="42"/>
      <c r="AF101" s="44"/>
      <c r="AG101" s="45"/>
      <c r="AH101" s="43"/>
      <c r="AI101" s="46"/>
      <c r="AJ101" s="47"/>
      <c r="AL101" s="114"/>
      <c r="AV101" s="32"/>
    </row>
    <row r="102" spans="2:48" ht="16.5" thickBot="1" x14ac:dyDescent="0.3">
      <c r="B102" s="15">
        <v>99</v>
      </c>
      <c r="C102" s="16">
        <f t="shared" si="28"/>
        <v>46454</v>
      </c>
      <c r="D102" s="17">
        <f t="shared" si="23"/>
        <v>2027</v>
      </c>
      <c r="E102" s="18">
        <f t="shared" si="29"/>
        <v>8762.31</v>
      </c>
      <c r="F102" s="18">
        <v>123.91</v>
      </c>
      <c r="G102" s="19">
        <f t="shared" si="24"/>
        <v>1.4141248141186514E-2</v>
      </c>
      <c r="H102" s="18">
        <f t="shared" si="32"/>
        <v>0</v>
      </c>
      <c r="I102" s="18">
        <f t="shared" si="25"/>
        <v>8886.2199999999993</v>
      </c>
      <c r="K102" s="18">
        <f t="shared" si="19"/>
        <v>400.0178262389507</v>
      </c>
      <c r="L102" s="19">
        <v>2.5000000000000001E-2</v>
      </c>
      <c r="M102" s="18">
        <f t="shared" si="26"/>
        <v>0</v>
      </c>
      <c r="N102" s="18">
        <f t="shared" si="30"/>
        <v>16400.730875796977</v>
      </c>
      <c r="P102" s="20">
        <f t="shared" si="31"/>
        <v>4842.05</v>
      </c>
      <c r="Q102" s="59"/>
      <c r="R102" s="22"/>
      <c r="S102" s="18">
        <f t="shared" si="22"/>
        <v>0</v>
      </c>
      <c r="T102" s="18">
        <f t="shared" si="27"/>
        <v>4842.05</v>
      </c>
      <c r="U102" s="41">
        <f>IF(SUM($U$4:U101)=1,0,IF(SUM($Q$4:Q102)&gt;39891.29,1,0))</f>
        <v>0</v>
      </c>
      <c r="V102" s="23"/>
      <c r="W102" s="23"/>
      <c r="X102" s="23"/>
      <c r="Y102" s="23"/>
      <c r="AA102" s="51"/>
      <c r="AB102" s="51"/>
      <c r="AC102" s="52"/>
      <c r="AD102" s="52"/>
      <c r="AE102" s="51"/>
      <c r="AF102" s="53"/>
      <c r="AG102" s="54"/>
      <c r="AH102" s="52"/>
      <c r="AI102" s="28"/>
      <c r="AJ102" s="55"/>
      <c r="AL102" s="114"/>
      <c r="AV102" s="32"/>
    </row>
    <row r="103" spans="2:48" ht="16.5" thickBot="1" x14ac:dyDescent="0.3">
      <c r="B103" s="33">
        <v>100</v>
      </c>
      <c r="C103" s="34">
        <f t="shared" si="28"/>
        <v>46461</v>
      </c>
      <c r="D103" s="35">
        <f t="shared" si="23"/>
        <v>2027</v>
      </c>
      <c r="E103" s="36">
        <f t="shared" si="29"/>
        <v>8886.2199999999993</v>
      </c>
      <c r="F103" s="36">
        <v>127.63</v>
      </c>
      <c r="G103" s="37">
        <f t="shared" si="24"/>
        <v>1.4362687396890917E-2</v>
      </c>
      <c r="H103" s="36">
        <f t="shared" si="32"/>
        <v>100</v>
      </c>
      <c r="I103" s="36">
        <f t="shared" si="25"/>
        <v>9113.8499999999985</v>
      </c>
      <c r="K103" s="36">
        <f t="shared" si="19"/>
        <v>410.01827189492445</v>
      </c>
      <c r="L103" s="37">
        <v>2.5000000000000001E-2</v>
      </c>
      <c r="M103" s="36">
        <f t="shared" si="26"/>
        <v>100</v>
      </c>
      <c r="N103" s="36">
        <f t="shared" si="30"/>
        <v>16910.749147691902</v>
      </c>
      <c r="P103" s="38">
        <f t="shared" si="31"/>
        <v>4842.05</v>
      </c>
      <c r="Q103" s="56"/>
      <c r="R103" s="40"/>
      <c r="S103" s="36">
        <f t="shared" si="22"/>
        <v>100</v>
      </c>
      <c r="T103" s="36">
        <f t="shared" si="27"/>
        <v>4942.05</v>
      </c>
      <c r="U103" s="41">
        <f>IF(SUM($U$4:U102)=1,0,IF(SUM($Q$4:Q103)&gt;39891.29,1,0))</f>
        <v>0</v>
      </c>
      <c r="V103" s="36"/>
      <c r="W103" s="36"/>
      <c r="X103" s="36"/>
      <c r="Y103" s="36"/>
      <c r="AA103" s="42"/>
      <c r="AB103" s="42"/>
      <c r="AC103" s="43"/>
      <c r="AD103" s="43"/>
      <c r="AE103" s="42"/>
      <c r="AF103" s="44"/>
      <c r="AG103" s="45"/>
      <c r="AH103" s="43"/>
      <c r="AI103" s="46"/>
      <c r="AJ103" s="47"/>
      <c r="AL103" s="114"/>
      <c r="AV103" s="32"/>
    </row>
    <row r="104" spans="2:48" ht="16.5" thickBot="1" x14ac:dyDescent="0.3">
      <c r="B104" s="15">
        <v>101</v>
      </c>
      <c r="C104" s="16">
        <f t="shared" si="28"/>
        <v>46468</v>
      </c>
      <c r="D104" s="17">
        <f t="shared" si="23"/>
        <v>2027</v>
      </c>
      <c r="E104" s="18">
        <f t="shared" si="29"/>
        <v>9113.8499999999985</v>
      </c>
      <c r="F104" s="18">
        <v>131.46</v>
      </c>
      <c r="G104" s="19">
        <f t="shared" si="24"/>
        <v>1.4424200529962643E-2</v>
      </c>
      <c r="H104" s="18">
        <f t="shared" si="32"/>
        <v>0</v>
      </c>
      <c r="I104" s="18">
        <f t="shared" si="25"/>
        <v>9245.3099999999977</v>
      </c>
      <c r="K104" s="18">
        <f t="shared" si="19"/>
        <v>422.7687286922976</v>
      </c>
      <c r="L104" s="19">
        <v>2.5000000000000001E-2</v>
      </c>
      <c r="M104" s="18">
        <f t="shared" si="26"/>
        <v>0</v>
      </c>
      <c r="N104" s="18">
        <f t="shared" si="30"/>
        <v>17333.517876384201</v>
      </c>
      <c r="P104" s="20">
        <f t="shared" si="31"/>
        <v>4942.05</v>
      </c>
      <c r="Q104" s="59"/>
      <c r="R104" s="22"/>
      <c r="S104" s="18">
        <f t="shared" si="22"/>
        <v>0</v>
      </c>
      <c r="T104" s="18">
        <f t="shared" si="27"/>
        <v>4942.05</v>
      </c>
      <c r="U104" s="41">
        <f>IF(SUM($U$4:U103)=1,0,IF(SUM($Q$4:Q104)&gt;39891.29,1,0))</f>
        <v>0</v>
      </c>
      <c r="V104" s="23"/>
      <c r="W104" s="23"/>
      <c r="X104" s="23"/>
      <c r="Y104" s="23"/>
      <c r="AA104" s="51"/>
      <c r="AB104" s="51"/>
      <c r="AC104" s="52"/>
      <c r="AD104" s="52"/>
      <c r="AE104" s="51"/>
      <c r="AF104" s="53"/>
      <c r="AG104" s="54"/>
      <c r="AH104" s="52"/>
      <c r="AI104" s="28"/>
      <c r="AJ104" s="55"/>
      <c r="AL104" s="114"/>
      <c r="AV104" s="32"/>
    </row>
    <row r="105" spans="2:48" ht="16.5" thickBot="1" x14ac:dyDescent="0.3">
      <c r="B105" s="33">
        <v>102</v>
      </c>
      <c r="C105" s="34">
        <f t="shared" si="28"/>
        <v>46475</v>
      </c>
      <c r="D105" s="35">
        <f t="shared" si="23"/>
        <v>2027</v>
      </c>
      <c r="E105" s="36">
        <f t="shared" si="29"/>
        <v>9245.3099999999977</v>
      </c>
      <c r="F105" s="36">
        <v>135.4</v>
      </c>
      <c r="G105" s="37">
        <f t="shared" si="24"/>
        <v>1.4645263382190542E-2</v>
      </c>
      <c r="H105" s="36">
        <f t="shared" si="32"/>
        <v>100</v>
      </c>
      <c r="I105" s="36">
        <f t="shared" si="25"/>
        <v>9480.7099999999973</v>
      </c>
      <c r="K105" s="36">
        <f t="shared" si="19"/>
        <v>433.33794690960508</v>
      </c>
      <c r="L105" s="37">
        <v>2.5000000000000001E-2</v>
      </c>
      <c r="M105" s="36">
        <f t="shared" si="26"/>
        <v>100</v>
      </c>
      <c r="N105" s="36">
        <f t="shared" si="30"/>
        <v>17866.855823293805</v>
      </c>
      <c r="P105" s="38">
        <f t="shared" si="31"/>
        <v>4942.05</v>
      </c>
      <c r="Q105" s="56"/>
      <c r="R105" s="40"/>
      <c r="S105" s="36">
        <f t="shared" si="22"/>
        <v>100</v>
      </c>
      <c r="T105" s="36">
        <f t="shared" si="27"/>
        <v>5042.05</v>
      </c>
      <c r="U105" s="41">
        <f>IF(SUM($U$4:U104)=1,0,IF(SUM($Q$4:Q105)&gt;39891.29,1,0))</f>
        <v>0</v>
      </c>
      <c r="V105" s="36"/>
      <c r="W105" s="36"/>
      <c r="X105" s="36"/>
      <c r="Y105" s="36"/>
      <c r="AA105" s="42"/>
      <c r="AB105" s="42"/>
      <c r="AC105" s="43"/>
      <c r="AD105" s="43"/>
      <c r="AE105" s="42"/>
      <c r="AF105" s="44"/>
      <c r="AG105" s="45"/>
      <c r="AH105" s="43"/>
      <c r="AI105" s="46"/>
      <c r="AJ105" s="47"/>
      <c r="AL105" s="114"/>
      <c r="AV105" s="32"/>
    </row>
    <row r="106" spans="2:48" ht="16.5" thickBot="1" x14ac:dyDescent="0.3">
      <c r="B106" s="15">
        <v>103</v>
      </c>
      <c r="C106" s="16">
        <f t="shared" si="28"/>
        <v>46482</v>
      </c>
      <c r="D106" s="17">
        <f t="shared" si="23"/>
        <v>2027</v>
      </c>
      <c r="E106" s="18">
        <f t="shared" si="29"/>
        <v>9480.7099999999973</v>
      </c>
      <c r="F106" s="18">
        <v>139.46</v>
      </c>
      <c r="G106" s="19">
        <f t="shared" si="24"/>
        <v>1.4709868775650774E-2</v>
      </c>
      <c r="H106" s="18">
        <f t="shared" si="32"/>
        <v>0</v>
      </c>
      <c r="I106" s="18">
        <f t="shared" si="25"/>
        <v>9620.1699999999964</v>
      </c>
      <c r="K106" s="18">
        <f t="shared" si="19"/>
        <v>446.67139558234516</v>
      </c>
      <c r="L106" s="19">
        <v>2.5000000000000001E-2</v>
      </c>
      <c r="M106" s="18">
        <f t="shared" si="26"/>
        <v>0</v>
      </c>
      <c r="N106" s="18">
        <f t="shared" si="30"/>
        <v>18313.527218876148</v>
      </c>
      <c r="P106" s="20">
        <f t="shared" si="31"/>
        <v>5042.05</v>
      </c>
      <c r="Q106" s="59"/>
      <c r="R106" s="22"/>
      <c r="S106" s="18">
        <f t="shared" si="22"/>
        <v>0</v>
      </c>
      <c r="T106" s="18">
        <f t="shared" si="27"/>
        <v>5042.05</v>
      </c>
      <c r="U106" s="41">
        <f>IF(SUM($U$4:U105)=1,0,IF(SUM($Q$4:Q106)&gt;39891.29,1,0))</f>
        <v>0</v>
      </c>
      <c r="V106" s="23"/>
      <c r="W106" s="23"/>
      <c r="X106" s="23"/>
      <c r="Y106" s="23"/>
      <c r="AA106" s="51"/>
      <c r="AB106" s="51"/>
      <c r="AC106" s="52"/>
      <c r="AD106" s="52"/>
      <c r="AE106" s="51"/>
      <c r="AF106" s="53"/>
      <c r="AG106" s="54"/>
      <c r="AH106" s="52"/>
      <c r="AI106" s="28"/>
      <c r="AJ106" s="55"/>
      <c r="AL106" s="114"/>
      <c r="AV106" s="32"/>
    </row>
    <row r="107" spans="2:48" ht="16.5" thickBot="1" x14ac:dyDescent="0.3">
      <c r="B107" s="33">
        <v>104</v>
      </c>
      <c r="C107" s="34">
        <f t="shared" si="28"/>
        <v>46489</v>
      </c>
      <c r="D107" s="35">
        <f t="shared" si="23"/>
        <v>2027</v>
      </c>
      <c r="E107" s="36">
        <f t="shared" si="29"/>
        <v>9620.1699999999964</v>
      </c>
      <c r="F107" s="36">
        <v>143.63999999999999</v>
      </c>
      <c r="G107" s="37">
        <f t="shared" si="24"/>
        <v>1.4931129075681619E-2</v>
      </c>
      <c r="H107" s="36">
        <f t="shared" si="32"/>
        <v>100</v>
      </c>
      <c r="I107" s="36">
        <f t="shared" si="25"/>
        <v>9863.8099999999959</v>
      </c>
      <c r="K107" s="36">
        <f t="shared" ref="K107:K170" si="33">L107*N106</f>
        <v>457.83818047190374</v>
      </c>
      <c r="L107" s="37">
        <v>2.5000000000000001E-2</v>
      </c>
      <c r="M107" s="36">
        <f t="shared" si="26"/>
        <v>100</v>
      </c>
      <c r="N107" s="36">
        <f t="shared" si="30"/>
        <v>18871.365399348051</v>
      </c>
      <c r="P107" s="38">
        <f t="shared" si="31"/>
        <v>5042.05</v>
      </c>
      <c r="Q107" s="56"/>
      <c r="R107" s="40"/>
      <c r="S107" s="36">
        <f t="shared" si="22"/>
        <v>100</v>
      </c>
      <c r="T107" s="36">
        <f t="shared" si="27"/>
        <v>5142.05</v>
      </c>
      <c r="U107" s="41">
        <f>IF(SUM($U$4:U106)=1,0,IF(SUM($Q$4:Q107)&gt;39891.29,1,0))</f>
        <v>0</v>
      </c>
      <c r="V107" s="36"/>
      <c r="W107" s="36"/>
      <c r="X107" s="36"/>
      <c r="Y107" s="36"/>
      <c r="AA107" s="42"/>
      <c r="AB107" s="42"/>
      <c r="AC107" s="43"/>
      <c r="AD107" s="43"/>
      <c r="AE107" s="42"/>
      <c r="AF107" s="44"/>
      <c r="AG107" s="45"/>
      <c r="AH107" s="43"/>
      <c r="AI107" s="46"/>
      <c r="AJ107" s="47"/>
      <c r="AL107" s="114"/>
      <c r="AV107" s="32"/>
    </row>
    <row r="108" spans="2:48" ht="16.5" thickBot="1" x14ac:dyDescent="0.3">
      <c r="B108" s="15">
        <v>105</v>
      </c>
      <c r="C108" s="16">
        <f t="shared" si="28"/>
        <v>46496</v>
      </c>
      <c r="D108" s="17">
        <f t="shared" si="23"/>
        <v>2027</v>
      </c>
      <c r="E108" s="18">
        <f t="shared" si="29"/>
        <v>9863.8099999999959</v>
      </c>
      <c r="F108" s="18">
        <v>147.94999999999999</v>
      </c>
      <c r="G108" s="19">
        <f t="shared" si="24"/>
        <v>1.4999275127967799E-2</v>
      </c>
      <c r="H108" s="18">
        <f t="shared" si="32"/>
        <v>0</v>
      </c>
      <c r="I108" s="18">
        <f t="shared" si="25"/>
        <v>10011.759999999997</v>
      </c>
      <c r="K108" s="18">
        <f t="shared" si="33"/>
        <v>471.78413498370128</v>
      </c>
      <c r="L108" s="19">
        <v>2.5000000000000001E-2</v>
      </c>
      <c r="M108" s="18">
        <f t="shared" si="26"/>
        <v>0</v>
      </c>
      <c r="N108" s="18">
        <f t="shared" si="30"/>
        <v>19343.149534331751</v>
      </c>
      <c r="P108" s="20">
        <f t="shared" si="31"/>
        <v>5142.05</v>
      </c>
      <c r="Q108" s="59"/>
      <c r="R108" s="22"/>
      <c r="S108" s="18">
        <f t="shared" si="22"/>
        <v>0</v>
      </c>
      <c r="T108" s="18">
        <f t="shared" si="27"/>
        <v>5142.05</v>
      </c>
      <c r="U108" s="41">
        <f>IF(SUM($U$4:U107)=1,0,IF(SUM($Q$4:Q108)&gt;39891.29,1,0))</f>
        <v>0</v>
      </c>
      <c r="V108" s="23"/>
      <c r="W108" s="23"/>
      <c r="X108" s="23"/>
      <c r="Y108" s="23"/>
      <c r="AA108" s="51"/>
      <c r="AB108" s="51"/>
      <c r="AC108" s="52"/>
      <c r="AD108" s="52"/>
      <c r="AE108" s="51"/>
      <c r="AF108" s="53"/>
      <c r="AG108" s="54"/>
      <c r="AH108" s="52"/>
      <c r="AI108" s="28"/>
      <c r="AJ108" s="55"/>
      <c r="AL108" s="114"/>
      <c r="AV108" s="32"/>
    </row>
    <row r="109" spans="2:48" ht="16.5" thickBot="1" x14ac:dyDescent="0.3">
      <c r="B109" s="33">
        <v>106</v>
      </c>
      <c r="C109" s="34">
        <f t="shared" si="28"/>
        <v>46503</v>
      </c>
      <c r="D109" s="35">
        <f t="shared" si="23"/>
        <v>2027</v>
      </c>
      <c r="E109" s="36">
        <f t="shared" si="29"/>
        <v>10011.759999999997</v>
      </c>
      <c r="F109" s="36">
        <v>152.38999999999999</v>
      </c>
      <c r="G109" s="37">
        <f t="shared" si="24"/>
        <v>1.5221099986415978E-2</v>
      </c>
      <c r="H109" s="36">
        <f t="shared" si="32"/>
        <v>100</v>
      </c>
      <c r="I109" s="36">
        <f t="shared" si="25"/>
        <v>10264.149999999996</v>
      </c>
      <c r="K109" s="36">
        <f t="shared" si="33"/>
        <v>483.57873835829378</v>
      </c>
      <c r="L109" s="37">
        <v>2.5000000000000001E-2</v>
      </c>
      <c r="M109" s="36">
        <f t="shared" si="26"/>
        <v>100</v>
      </c>
      <c r="N109" s="36">
        <f t="shared" si="30"/>
        <v>19926.728272690045</v>
      </c>
      <c r="P109" s="38">
        <f t="shared" si="31"/>
        <v>5142.05</v>
      </c>
      <c r="Q109" s="56"/>
      <c r="R109" s="40"/>
      <c r="S109" s="36">
        <f t="shared" si="22"/>
        <v>100</v>
      </c>
      <c r="T109" s="36">
        <f t="shared" si="27"/>
        <v>5242.05</v>
      </c>
      <c r="U109" s="41">
        <f>IF(SUM($U$4:U108)=1,0,IF(SUM($Q$4:Q109)&gt;39891.29,1,0))</f>
        <v>0</v>
      </c>
      <c r="V109" s="36"/>
      <c r="W109" s="36"/>
      <c r="X109" s="36"/>
      <c r="Y109" s="36"/>
      <c r="AA109" s="42"/>
      <c r="AB109" s="42"/>
      <c r="AC109" s="43"/>
      <c r="AD109" s="43"/>
      <c r="AE109" s="42"/>
      <c r="AF109" s="44"/>
      <c r="AG109" s="45"/>
      <c r="AH109" s="43"/>
      <c r="AI109" s="46"/>
      <c r="AJ109" s="47"/>
      <c r="AL109" s="114"/>
      <c r="AV109" s="32"/>
    </row>
    <row r="110" spans="2:48" ht="16.5" thickBot="1" x14ac:dyDescent="0.3">
      <c r="B110" s="15">
        <v>107</v>
      </c>
      <c r="C110" s="16">
        <f t="shared" si="28"/>
        <v>46510</v>
      </c>
      <c r="D110" s="17">
        <f t="shared" si="23"/>
        <v>2027</v>
      </c>
      <c r="E110" s="18">
        <f t="shared" si="29"/>
        <v>10264.149999999996</v>
      </c>
      <c r="F110" s="18">
        <v>156.96</v>
      </c>
      <c r="G110" s="19">
        <f t="shared" si="24"/>
        <v>1.5292060229049661E-2</v>
      </c>
      <c r="H110" s="18">
        <f t="shared" si="32"/>
        <v>0</v>
      </c>
      <c r="I110" s="18">
        <f t="shared" si="25"/>
        <v>10421.109999999995</v>
      </c>
      <c r="K110" s="18">
        <f t="shared" si="33"/>
        <v>498.16820681725113</v>
      </c>
      <c r="L110" s="19">
        <v>2.5000000000000001E-2</v>
      </c>
      <c r="M110" s="18">
        <f t="shared" si="26"/>
        <v>0</v>
      </c>
      <c r="N110" s="18">
        <f t="shared" si="30"/>
        <v>20424.896479507297</v>
      </c>
      <c r="P110" s="20">
        <f t="shared" si="31"/>
        <v>5242.05</v>
      </c>
      <c r="Q110" s="59"/>
      <c r="R110" s="22"/>
      <c r="S110" s="18">
        <f t="shared" ref="S110:S173" si="34">S108</f>
        <v>0</v>
      </c>
      <c r="T110" s="18">
        <f t="shared" si="27"/>
        <v>5242.05</v>
      </c>
      <c r="U110" s="41">
        <f>IF(SUM($U$4:U109)=1,0,IF(SUM($Q$4:Q110)&gt;39891.29,1,0))</f>
        <v>0</v>
      </c>
      <c r="V110" s="23"/>
      <c r="W110" s="23"/>
      <c r="X110" s="23"/>
      <c r="Y110" s="23"/>
      <c r="AA110" s="51"/>
      <c r="AB110" s="51"/>
      <c r="AC110" s="52"/>
      <c r="AD110" s="52"/>
      <c r="AE110" s="51"/>
      <c r="AF110" s="53"/>
      <c r="AG110" s="54"/>
      <c r="AH110" s="52"/>
      <c r="AI110" s="28"/>
      <c r="AJ110" s="55"/>
      <c r="AL110" s="114"/>
      <c r="AV110" s="32"/>
    </row>
    <row r="111" spans="2:48" ht="16.5" thickBot="1" x14ac:dyDescent="0.3">
      <c r="B111" s="33">
        <v>108</v>
      </c>
      <c r="C111" s="34">
        <f t="shared" si="28"/>
        <v>46517</v>
      </c>
      <c r="D111" s="35">
        <f t="shared" si="23"/>
        <v>2027</v>
      </c>
      <c r="E111" s="36">
        <f t="shared" si="29"/>
        <v>10421.109999999995</v>
      </c>
      <c r="F111" s="36">
        <v>161.66999999999999</v>
      </c>
      <c r="G111" s="37">
        <f t="shared" si="24"/>
        <v>1.5513702475072239E-2</v>
      </c>
      <c r="H111" s="36">
        <f t="shared" si="32"/>
        <v>100</v>
      </c>
      <c r="I111" s="36">
        <f t="shared" si="25"/>
        <v>10682.779999999995</v>
      </c>
      <c r="K111" s="36">
        <f t="shared" si="33"/>
        <v>510.62241198768243</v>
      </c>
      <c r="L111" s="37">
        <v>2.5000000000000001E-2</v>
      </c>
      <c r="M111" s="36">
        <f t="shared" si="26"/>
        <v>100</v>
      </c>
      <c r="N111" s="36">
        <f t="shared" si="30"/>
        <v>21035.518891494979</v>
      </c>
      <c r="P111" s="38">
        <f t="shared" si="31"/>
        <v>5242.05</v>
      </c>
      <c r="Q111" s="56"/>
      <c r="R111" s="40"/>
      <c r="S111" s="36">
        <f t="shared" si="34"/>
        <v>100</v>
      </c>
      <c r="T111" s="36">
        <f t="shared" si="27"/>
        <v>5342.05</v>
      </c>
      <c r="U111" s="41">
        <f>IF(SUM($U$4:U110)=1,0,IF(SUM($Q$4:Q111)&gt;39891.29,1,0))</f>
        <v>0</v>
      </c>
      <c r="V111" s="36"/>
      <c r="W111" s="36"/>
      <c r="X111" s="36"/>
      <c r="Y111" s="36"/>
      <c r="AA111" s="42"/>
      <c r="AB111" s="42"/>
      <c r="AC111" s="43"/>
      <c r="AD111" s="43"/>
      <c r="AE111" s="42"/>
      <c r="AF111" s="44"/>
      <c r="AG111" s="45"/>
      <c r="AH111" s="43"/>
      <c r="AI111" s="46"/>
      <c r="AJ111" s="47"/>
      <c r="AL111" s="114"/>
      <c r="AV111" s="32"/>
    </row>
    <row r="112" spans="2:48" ht="16.5" thickBot="1" x14ac:dyDescent="0.3">
      <c r="B112" s="15">
        <v>109</v>
      </c>
      <c r="C112" s="16">
        <f t="shared" si="28"/>
        <v>46524</v>
      </c>
      <c r="D112" s="17">
        <f t="shared" si="23"/>
        <v>2027</v>
      </c>
      <c r="E112" s="18">
        <f t="shared" si="29"/>
        <v>10682.779999999995</v>
      </c>
      <c r="F112" s="18">
        <v>166.52</v>
      </c>
      <c r="G112" s="19">
        <f t="shared" si="24"/>
        <v>1.5587702826417851E-2</v>
      </c>
      <c r="H112" s="18">
        <f t="shared" si="32"/>
        <v>0</v>
      </c>
      <c r="I112" s="18">
        <f t="shared" si="25"/>
        <v>10849.299999999996</v>
      </c>
      <c r="K112" s="18">
        <f t="shared" si="33"/>
        <v>525.88797228737451</v>
      </c>
      <c r="L112" s="19">
        <v>2.5000000000000001E-2</v>
      </c>
      <c r="M112" s="18">
        <f t="shared" si="26"/>
        <v>0</v>
      </c>
      <c r="N112" s="18">
        <f t="shared" si="30"/>
        <v>21561.406863782355</v>
      </c>
      <c r="P112" s="20">
        <f t="shared" si="31"/>
        <v>5342.05</v>
      </c>
      <c r="Q112" s="59"/>
      <c r="R112" s="22"/>
      <c r="S112" s="18">
        <f t="shared" si="34"/>
        <v>0</v>
      </c>
      <c r="T112" s="18">
        <f t="shared" si="27"/>
        <v>5342.05</v>
      </c>
      <c r="U112" s="41">
        <f>IF(SUM($U$4:U111)=1,0,IF(SUM($Q$4:Q112)&gt;39891.29,1,0))</f>
        <v>0</v>
      </c>
      <c r="V112" s="23"/>
      <c r="W112" s="23"/>
      <c r="X112" s="23"/>
      <c r="Y112" s="23"/>
      <c r="AA112" s="51"/>
      <c r="AB112" s="51"/>
      <c r="AC112" s="52"/>
      <c r="AD112" s="52"/>
      <c r="AE112" s="51"/>
      <c r="AF112" s="53"/>
      <c r="AG112" s="54"/>
      <c r="AH112" s="52"/>
      <c r="AI112" s="28"/>
      <c r="AJ112" s="55"/>
      <c r="AL112" s="114"/>
      <c r="AV112" s="32"/>
    </row>
    <row r="113" spans="2:48" ht="16.5" thickBot="1" x14ac:dyDescent="0.3">
      <c r="B113" s="33">
        <v>110</v>
      </c>
      <c r="C113" s="34">
        <f t="shared" si="28"/>
        <v>46531</v>
      </c>
      <c r="D113" s="35">
        <f t="shared" si="23"/>
        <v>2027</v>
      </c>
      <c r="E113" s="36">
        <f t="shared" si="29"/>
        <v>10849.299999999996</v>
      </c>
      <c r="F113" s="36">
        <v>171.52</v>
      </c>
      <c r="G113" s="37">
        <f t="shared" si="24"/>
        <v>1.5809314886674725E-2</v>
      </c>
      <c r="H113" s="36">
        <f t="shared" si="32"/>
        <v>100</v>
      </c>
      <c r="I113" s="36">
        <f t="shared" si="25"/>
        <v>11120.819999999996</v>
      </c>
      <c r="K113" s="36">
        <f t="shared" si="33"/>
        <v>539.03517159455885</v>
      </c>
      <c r="L113" s="37">
        <v>2.5000000000000001E-2</v>
      </c>
      <c r="M113" s="36">
        <f t="shared" si="26"/>
        <v>100</v>
      </c>
      <c r="N113" s="36">
        <f t="shared" si="30"/>
        <v>22200.442035376913</v>
      </c>
      <c r="P113" s="38">
        <f t="shared" si="31"/>
        <v>5342.05</v>
      </c>
      <c r="Q113" s="56"/>
      <c r="R113" s="40"/>
      <c r="S113" s="36">
        <f t="shared" si="34"/>
        <v>100</v>
      </c>
      <c r="T113" s="36">
        <f t="shared" si="27"/>
        <v>5442.05</v>
      </c>
      <c r="U113" s="41">
        <f>IF(SUM($U$4:U112)=1,0,IF(SUM($Q$4:Q113)&gt;39891.29,1,0))</f>
        <v>0</v>
      </c>
      <c r="V113" s="36"/>
      <c r="W113" s="36"/>
      <c r="X113" s="36"/>
      <c r="Y113" s="36"/>
      <c r="AA113" s="42"/>
      <c r="AB113" s="42"/>
      <c r="AC113" s="43"/>
      <c r="AD113" s="43"/>
      <c r="AE113" s="42"/>
      <c r="AF113" s="44"/>
      <c r="AG113" s="45"/>
      <c r="AH113" s="43"/>
      <c r="AI113" s="46"/>
      <c r="AJ113" s="47"/>
      <c r="AL113" s="114"/>
      <c r="AV113" s="32"/>
    </row>
    <row r="114" spans="2:48" ht="16.5" thickBot="1" x14ac:dyDescent="0.3">
      <c r="B114" s="15">
        <v>111</v>
      </c>
      <c r="C114" s="16">
        <f t="shared" si="28"/>
        <v>46538</v>
      </c>
      <c r="D114" s="17">
        <f t="shared" si="23"/>
        <v>2027</v>
      </c>
      <c r="E114" s="18">
        <f t="shared" si="29"/>
        <v>11120.819999999996</v>
      </c>
      <c r="F114" s="18">
        <v>176.67</v>
      </c>
      <c r="G114" s="19">
        <f t="shared" si="24"/>
        <v>1.5886418447560526E-2</v>
      </c>
      <c r="H114" s="18">
        <f t="shared" si="32"/>
        <v>0</v>
      </c>
      <c r="I114" s="18">
        <f t="shared" si="25"/>
        <v>11297.489999999996</v>
      </c>
      <c r="K114" s="18">
        <f t="shared" si="33"/>
        <v>555.01105088442284</v>
      </c>
      <c r="L114" s="19">
        <v>2.5000000000000001E-2</v>
      </c>
      <c r="M114" s="18">
        <f t="shared" si="26"/>
        <v>0</v>
      </c>
      <c r="N114" s="18">
        <f t="shared" si="30"/>
        <v>22755.453086261336</v>
      </c>
      <c r="P114" s="20">
        <f t="shared" si="31"/>
        <v>5442.05</v>
      </c>
      <c r="Q114" s="59"/>
      <c r="R114" s="22"/>
      <c r="S114" s="18">
        <f t="shared" si="34"/>
        <v>0</v>
      </c>
      <c r="T114" s="18">
        <f t="shared" si="27"/>
        <v>5442.05</v>
      </c>
      <c r="U114" s="41">
        <f>IF(SUM($U$4:U113)=1,0,IF(SUM($Q$4:Q114)&gt;39891.29,1,0))</f>
        <v>0</v>
      </c>
      <c r="V114" s="23"/>
      <c r="W114" s="23"/>
      <c r="X114" s="23"/>
      <c r="Y114" s="23"/>
      <c r="AA114" s="51"/>
      <c r="AB114" s="51"/>
      <c r="AC114" s="52"/>
      <c r="AD114" s="52"/>
      <c r="AE114" s="51"/>
      <c r="AF114" s="53"/>
      <c r="AG114" s="54"/>
      <c r="AH114" s="52"/>
      <c r="AI114" s="28"/>
      <c r="AJ114" s="55"/>
      <c r="AL114" s="114"/>
      <c r="AV114" s="32"/>
    </row>
    <row r="115" spans="2:48" ht="16.5" thickBot="1" x14ac:dyDescent="0.3">
      <c r="B115" s="33">
        <v>112</v>
      </c>
      <c r="C115" s="34">
        <f t="shared" si="28"/>
        <v>46545</v>
      </c>
      <c r="D115" s="35">
        <f t="shared" si="23"/>
        <v>2027</v>
      </c>
      <c r="E115" s="36">
        <f t="shared" si="29"/>
        <v>11297.489999999996</v>
      </c>
      <c r="F115" s="36">
        <v>181.97</v>
      </c>
      <c r="G115" s="37">
        <f t="shared" si="24"/>
        <v>1.6107117598687857E-2</v>
      </c>
      <c r="H115" s="36">
        <f t="shared" si="32"/>
        <v>100</v>
      </c>
      <c r="I115" s="36">
        <f t="shared" si="25"/>
        <v>11579.459999999995</v>
      </c>
      <c r="K115" s="36">
        <f t="shared" si="33"/>
        <v>568.88632715653341</v>
      </c>
      <c r="L115" s="37">
        <v>2.5000000000000001E-2</v>
      </c>
      <c r="M115" s="36">
        <f t="shared" si="26"/>
        <v>100</v>
      </c>
      <c r="N115" s="36">
        <f t="shared" si="30"/>
        <v>23424.339413417871</v>
      </c>
      <c r="P115" s="38">
        <f t="shared" si="31"/>
        <v>5442.05</v>
      </c>
      <c r="Q115" s="56"/>
      <c r="R115" s="40"/>
      <c r="S115" s="36">
        <f t="shared" si="34"/>
        <v>100</v>
      </c>
      <c r="T115" s="36">
        <f t="shared" si="27"/>
        <v>5542.05</v>
      </c>
      <c r="U115" s="41">
        <f>IF(SUM($U$4:U114)=1,0,IF(SUM($Q$4:Q115)&gt;39891.29,1,0))</f>
        <v>0</v>
      </c>
      <c r="V115" s="36"/>
      <c r="W115" s="36"/>
      <c r="X115" s="36"/>
      <c r="Y115" s="36"/>
      <c r="AA115" s="42"/>
      <c r="AB115" s="42"/>
      <c r="AC115" s="43"/>
      <c r="AD115" s="43"/>
      <c r="AE115" s="42"/>
      <c r="AF115" s="44"/>
      <c r="AG115" s="45"/>
      <c r="AH115" s="43"/>
      <c r="AI115" s="46"/>
      <c r="AJ115" s="47"/>
      <c r="AL115" s="114"/>
      <c r="AV115" s="32"/>
    </row>
    <row r="116" spans="2:48" ht="16.5" thickBot="1" x14ac:dyDescent="0.3">
      <c r="B116" s="15">
        <v>113</v>
      </c>
      <c r="C116" s="16">
        <f t="shared" si="28"/>
        <v>46552</v>
      </c>
      <c r="D116" s="17">
        <f t="shared" si="23"/>
        <v>2027</v>
      </c>
      <c r="E116" s="18">
        <f t="shared" si="29"/>
        <v>11579.459999999995</v>
      </c>
      <c r="F116" s="18">
        <v>187.42</v>
      </c>
      <c r="G116" s="19">
        <f t="shared" si="24"/>
        <v>1.6185556148559609E-2</v>
      </c>
      <c r="H116" s="18">
        <f t="shared" si="32"/>
        <v>0</v>
      </c>
      <c r="I116" s="18">
        <f t="shared" si="25"/>
        <v>11766.879999999996</v>
      </c>
      <c r="K116" s="18">
        <f t="shared" si="33"/>
        <v>585.60848533544674</v>
      </c>
      <c r="L116" s="19">
        <v>2.5000000000000001E-2</v>
      </c>
      <c r="M116" s="18">
        <f t="shared" si="26"/>
        <v>0</v>
      </c>
      <c r="N116" s="18">
        <f t="shared" si="30"/>
        <v>24009.947898753318</v>
      </c>
      <c r="P116" s="20">
        <f t="shared" si="31"/>
        <v>5542.05</v>
      </c>
      <c r="Q116" s="59"/>
      <c r="R116" s="22"/>
      <c r="S116" s="18">
        <f t="shared" si="34"/>
        <v>0</v>
      </c>
      <c r="T116" s="18">
        <f t="shared" si="27"/>
        <v>5542.05</v>
      </c>
      <c r="U116" s="41">
        <f>IF(SUM($U$4:U115)=1,0,IF(SUM($Q$4:Q116)&gt;39891.29,1,0))</f>
        <v>0</v>
      </c>
      <c r="V116" s="23"/>
      <c r="W116" s="23"/>
      <c r="X116" s="23"/>
      <c r="Y116" s="23"/>
      <c r="AA116" s="51"/>
      <c r="AB116" s="51"/>
      <c r="AC116" s="52"/>
      <c r="AD116" s="52"/>
      <c r="AE116" s="51"/>
      <c r="AF116" s="53"/>
      <c r="AG116" s="54"/>
      <c r="AH116" s="52"/>
      <c r="AI116" s="28"/>
      <c r="AJ116" s="55"/>
      <c r="AL116" s="114"/>
      <c r="AV116" s="32"/>
    </row>
    <row r="117" spans="2:48" ht="16.5" thickBot="1" x14ac:dyDescent="0.3">
      <c r="B117" s="33">
        <v>114</v>
      </c>
      <c r="C117" s="34">
        <f t="shared" si="28"/>
        <v>46559</v>
      </c>
      <c r="D117" s="35">
        <f t="shared" si="23"/>
        <v>2027</v>
      </c>
      <c r="E117" s="36">
        <f t="shared" si="29"/>
        <v>11766.879999999996</v>
      </c>
      <c r="F117" s="36">
        <v>193.05</v>
      </c>
      <c r="G117" s="37">
        <f t="shared" si="24"/>
        <v>1.6406218130889418E-2</v>
      </c>
      <c r="H117" s="36">
        <f t="shared" si="32"/>
        <v>100</v>
      </c>
      <c r="I117" s="36">
        <f t="shared" si="25"/>
        <v>12059.929999999995</v>
      </c>
      <c r="K117" s="36">
        <f t="shared" si="33"/>
        <v>600.24869746883303</v>
      </c>
      <c r="L117" s="37">
        <v>2.5000000000000001E-2</v>
      </c>
      <c r="M117" s="36">
        <f t="shared" si="26"/>
        <v>100</v>
      </c>
      <c r="N117" s="36">
        <f t="shared" si="30"/>
        <v>24710.196596222151</v>
      </c>
      <c r="P117" s="38">
        <f t="shared" si="31"/>
        <v>5542.05</v>
      </c>
      <c r="Q117" s="56"/>
      <c r="R117" s="40"/>
      <c r="S117" s="36">
        <f t="shared" si="34"/>
        <v>100</v>
      </c>
      <c r="T117" s="36">
        <f t="shared" si="27"/>
        <v>5642.05</v>
      </c>
      <c r="U117" s="41">
        <f>IF(SUM($U$4:U116)=1,0,IF(SUM($Q$4:Q117)&gt;39891.29,1,0))</f>
        <v>0</v>
      </c>
      <c r="V117" s="36"/>
      <c r="W117" s="36"/>
      <c r="X117" s="36"/>
      <c r="Y117" s="36"/>
      <c r="AA117" s="42"/>
      <c r="AB117" s="42"/>
      <c r="AC117" s="43"/>
      <c r="AD117" s="43"/>
      <c r="AE117" s="42"/>
      <c r="AF117" s="44"/>
      <c r="AG117" s="45"/>
      <c r="AH117" s="43"/>
      <c r="AI117" s="46"/>
      <c r="AJ117" s="47"/>
      <c r="AL117" s="114"/>
      <c r="AV117" s="32"/>
    </row>
    <row r="118" spans="2:48" ht="16.5" thickBot="1" x14ac:dyDescent="0.3">
      <c r="B118" s="15">
        <v>115</v>
      </c>
      <c r="C118" s="16">
        <f t="shared" si="28"/>
        <v>46566</v>
      </c>
      <c r="D118" s="17">
        <f t="shared" si="23"/>
        <v>2027</v>
      </c>
      <c r="E118" s="18">
        <f t="shared" si="29"/>
        <v>12059.929999999995</v>
      </c>
      <c r="F118" s="18">
        <v>198.84</v>
      </c>
      <c r="G118" s="19">
        <f t="shared" si="24"/>
        <v>1.648765788856155E-2</v>
      </c>
      <c r="H118" s="18">
        <f t="shared" si="32"/>
        <v>0</v>
      </c>
      <c r="I118" s="18">
        <f t="shared" si="25"/>
        <v>12258.769999999995</v>
      </c>
      <c r="K118" s="18">
        <f t="shared" si="33"/>
        <v>617.75491490555385</v>
      </c>
      <c r="L118" s="19">
        <v>2.5000000000000001E-2</v>
      </c>
      <c r="M118" s="18">
        <f t="shared" si="26"/>
        <v>0</v>
      </c>
      <c r="N118" s="18">
        <f t="shared" si="30"/>
        <v>25327.951511127703</v>
      </c>
      <c r="P118" s="20">
        <f t="shared" si="31"/>
        <v>5642.05</v>
      </c>
      <c r="Q118" s="59"/>
      <c r="R118" s="22"/>
      <c r="S118" s="18">
        <f t="shared" si="34"/>
        <v>0</v>
      </c>
      <c r="T118" s="18">
        <f t="shared" si="27"/>
        <v>5642.05</v>
      </c>
      <c r="U118" s="41">
        <f>IF(SUM($U$4:U117)=1,0,IF(SUM($Q$4:Q118)&gt;39891.29,1,0))</f>
        <v>0</v>
      </c>
      <c r="V118" s="23"/>
      <c r="W118" s="23"/>
      <c r="X118" s="23"/>
      <c r="Y118" s="23"/>
      <c r="AA118" s="51"/>
      <c r="AB118" s="51"/>
      <c r="AC118" s="52"/>
      <c r="AD118" s="52"/>
      <c r="AE118" s="51"/>
      <c r="AF118" s="53"/>
      <c r="AG118" s="54"/>
      <c r="AH118" s="52"/>
      <c r="AI118" s="28"/>
      <c r="AJ118" s="55"/>
      <c r="AL118" s="114"/>
      <c r="AV118" s="32"/>
    </row>
    <row r="119" spans="2:48" ht="16.5" thickBot="1" x14ac:dyDescent="0.3">
      <c r="B119" s="33">
        <v>116</v>
      </c>
      <c r="C119" s="34">
        <f t="shared" si="28"/>
        <v>46573</v>
      </c>
      <c r="D119" s="35">
        <f t="shared" si="23"/>
        <v>2027</v>
      </c>
      <c r="E119" s="36">
        <f t="shared" si="29"/>
        <v>12258.769999999995</v>
      </c>
      <c r="F119" s="36">
        <v>204.8</v>
      </c>
      <c r="G119" s="37">
        <f t="shared" si="24"/>
        <v>1.6706406923369971E-2</v>
      </c>
      <c r="H119" s="36">
        <f t="shared" si="32"/>
        <v>100</v>
      </c>
      <c r="I119" s="36">
        <f t="shared" si="25"/>
        <v>12563.569999999994</v>
      </c>
      <c r="K119" s="36">
        <f t="shared" si="33"/>
        <v>633.19878777819258</v>
      </c>
      <c r="L119" s="37">
        <v>2.5000000000000001E-2</v>
      </c>
      <c r="M119" s="36">
        <f t="shared" si="26"/>
        <v>100</v>
      </c>
      <c r="N119" s="36">
        <f t="shared" si="30"/>
        <v>26061.150298905897</v>
      </c>
      <c r="P119" s="38">
        <f t="shared" si="31"/>
        <v>5642.05</v>
      </c>
      <c r="Q119" s="56"/>
      <c r="R119" s="40"/>
      <c r="S119" s="36">
        <f t="shared" si="34"/>
        <v>100</v>
      </c>
      <c r="T119" s="36">
        <f t="shared" si="27"/>
        <v>5742.05</v>
      </c>
      <c r="U119" s="41">
        <f>IF(SUM($U$4:U118)=1,0,IF(SUM($Q$4:Q119)&gt;39891.29,1,0))</f>
        <v>0</v>
      </c>
      <c r="V119" s="36"/>
      <c r="W119" s="36"/>
      <c r="X119" s="36"/>
      <c r="Y119" s="36"/>
      <c r="AA119" s="42"/>
      <c r="AB119" s="42"/>
      <c r="AC119" s="43"/>
      <c r="AD119" s="43"/>
      <c r="AE119" s="42"/>
      <c r="AF119" s="44"/>
      <c r="AG119" s="45"/>
      <c r="AH119" s="43"/>
      <c r="AI119" s="46"/>
      <c r="AJ119" s="47"/>
      <c r="AL119" s="114"/>
      <c r="AV119" s="32"/>
    </row>
    <row r="120" spans="2:48" ht="16.5" thickBot="1" x14ac:dyDescent="0.3">
      <c r="B120" s="15">
        <v>117</v>
      </c>
      <c r="C120" s="16">
        <f t="shared" si="28"/>
        <v>46580</v>
      </c>
      <c r="D120" s="17">
        <f t="shared" si="23"/>
        <v>2027</v>
      </c>
      <c r="E120" s="18">
        <f t="shared" si="29"/>
        <v>12563.569999999994</v>
      </c>
      <c r="F120" s="18">
        <v>210.95</v>
      </c>
      <c r="G120" s="19">
        <f t="shared" si="24"/>
        <v>1.6790609675434616E-2</v>
      </c>
      <c r="H120" s="18">
        <f t="shared" si="32"/>
        <v>0</v>
      </c>
      <c r="I120" s="18">
        <f t="shared" si="25"/>
        <v>12774.519999999995</v>
      </c>
      <c r="K120" s="18">
        <f t="shared" si="33"/>
        <v>651.5287574726475</v>
      </c>
      <c r="L120" s="19">
        <v>2.5000000000000001E-2</v>
      </c>
      <c r="M120" s="18">
        <f t="shared" si="26"/>
        <v>0</v>
      </c>
      <c r="N120" s="18">
        <f t="shared" si="30"/>
        <v>26712.679056378543</v>
      </c>
      <c r="P120" s="20">
        <f t="shared" si="31"/>
        <v>5742.05</v>
      </c>
      <c r="Q120" s="59"/>
      <c r="R120" s="22"/>
      <c r="S120" s="18">
        <f t="shared" si="34"/>
        <v>0</v>
      </c>
      <c r="T120" s="18">
        <f t="shared" si="27"/>
        <v>5742.05</v>
      </c>
      <c r="U120" s="41">
        <f>IF(SUM($U$4:U119)=1,0,IF(SUM($Q$4:Q120)&gt;39891.29,1,0))</f>
        <v>0</v>
      </c>
      <c r="V120" s="23"/>
      <c r="W120" s="23"/>
      <c r="X120" s="23"/>
      <c r="Y120" s="23"/>
      <c r="AA120" s="51"/>
      <c r="AB120" s="51"/>
      <c r="AC120" s="52"/>
      <c r="AD120" s="52"/>
      <c r="AE120" s="51"/>
      <c r="AF120" s="53"/>
      <c r="AG120" s="54"/>
      <c r="AH120" s="52"/>
      <c r="AI120" s="28"/>
      <c r="AJ120" s="55"/>
      <c r="AL120" s="114"/>
      <c r="AV120" s="32"/>
    </row>
    <row r="121" spans="2:48" ht="16.5" thickBot="1" x14ac:dyDescent="0.3">
      <c r="B121" s="33">
        <v>118</v>
      </c>
      <c r="C121" s="34">
        <f t="shared" si="28"/>
        <v>46587</v>
      </c>
      <c r="D121" s="35">
        <f t="shared" si="23"/>
        <v>2027</v>
      </c>
      <c r="E121" s="36">
        <f t="shared" si="29"/>
        <v>12774.519999999995</v>
      </c>
      <c r="F121" s="36">
        <v>217.28</v>
      </c>
      <c r="G121" s="37">
        <f t="shared" si="24"/>
        <v>1.7008858258470774E-2</v>
      </c>
      <c r="H121" s="36">
        <f t="shared" si="32"/>
        <v>100</v>
      </c>
      <c r="I121" s="36">
        <f t="shared" si="25"/>
        <v>13091.799999999996</v>
      </c>
      <c r="K121" s="36">
        <f t="shared" si="33"/>
        <v>667.81697640946368</v>
      </c>
      <c r="L121" s="37">
        <v>2.5000000000000001E-2</v>
      </c>
      <c r="M121" s="36">
        <f t="shared" si="26"/>
        <v>100</v>
      </c>
      <c r="N121" s="36">
        <f t="shared" si="30"/>
        <v>27480.496032788007</v>
      </c>
      <c r="P121" s="38">
        <f t="shared" si="31"/>
        <v>5742.05</v>
      </c>
      <c r="Q121" s="56"/>
      <c r="R121" s="40"/>
      <c r="S121" s="36">
        <f t="shared" si="34"/>
        <v>100</v>
      </c>
      <c r="T121" s="36">
        <f t="shared" si="27"/>
        <v>5842.05</v>
      </c>
      <c r="U121" s="41">
        <f>IF(SUM($U$4:U120)=1,0,IF(SUM($Q$4:Q121)&gt;39891.29,1,0))</f>
        <v>0</v>
      </c>
      <c r="V121" s="36"/>
      <c r="W121" s="36"/>
      <c r="X121" s="36"/>
      <c r="Y121" s="36"/>
      <c r="AA121" s="42"/>
      <c r="AB121" s="42"/>
      <c r="AC121" s="43"/>
      <c r="AD121" s="43"/>
      <c r="AE121" s="42"/>
      <c r="AF121" s="44"/>
      <c r="AG121" s="45"/>
      <c r="AH121" s="43"/>
      <c r="AI121" s="46"/>
      <c r="AJ121" s="47"/>
      <c r="AL121" s="114"/>
      <c r="AV121" s="32"/>
    </row>
    <row r="122" spans="2:48" ht="16.5" thickBot="1" x14ac:dyDescent="0.3">
      <c r="B122" s="15">
        <v>119</v>
      </c>
      <c r="C122" s="16">
        <f t="shared" si="28"/>
        <v>46594</v>
      </c>
      <c r="D122" s="17">
        <f t="shared" si="23"/>
        <v>2027</v>
      </c>
      <c r="E122" s="18">
        <f t="shared" si="29"/>
        <v>13091.799999999996</v>
      </c>
      <c r="F122" s="18">
        <v>223.79</v>
      </c>
      <c r="G122" s="19">
        <f t="shared" si="24"/>
        <v>1.7093906109167577E-2</v>
      </c>
      <c r="H122" s="18">
        <f t="shared" si="32"/>
        <v>0</v>
      </c>
      <c r="I122" s="18">
        <f t="shared" si="25"/>
        <v>13315.589999999997</v>
      </c>
      <c r="K122" s="18">
        <f t="shared" si="33"/>
        <v>687.01240081970025</v>
      </c>
      <c r="L122" s="19">
        <v>2.5000000000000001E-2</v>
      </c>
      <c r="M122" s="18">
        <f t="shared" si="26"/>
        <v>0</v>
      </c>
      <c r="N122" s="18">
        <f t="shared" si="30"/>
        <v>28167.508433607709</v>
      </c>
      <c r="P122" s="20">
        <f t="shared" si="31"/>
        <v>5842.05</v>
      </c>
      <c r="Q122" s="59"/>
      <c r="R122" s="22"/>
      <c r="S122" s="18">
        <f t="shared" si="34"/>
        <v>0</v>
      </c>
      <c r="T122" s="18">
        <f t="shared" si="27"/>
        <v>5842.05</v>
      </c>
      <c r="U122" s="41">
        <f>IF(SUM($U$4:U121)=1,0,IF(SUM($Q$4:Q122)&gt;39891.29,1,0))</f>
        <v>0</v>
      </c>
      <c r="V122" s="23"/>
      <c r="W122" s="23"/>
      <c r="X122" s="23"/>
      <c r="Y122" s="23"/>
      <c r="AA122" s="51"/>
      <c r="AB122" s="51"/>
      <c r="AC122" s="52"/>
      <c r="AD122" s="52"/>
      <c r="AE122" s="51"/>
      <c r="AF122" s="53"/>
      <c r="AG122" s="54"/>
      <c r="AH122" s="52"/>
      <c r="AI122" s="28"/>
      <c r="AJ122" s="55"/>
      <c r="AL122" s="114"/>
      <c r="AV122" s="32"/>
    </row>
    <row r="123" spans="2:48" ht="16.5" thickBot="1" x14ac:dyDescent="0.3">
      <c r="B123" s="33">
        <v>120</v>
      </c>
      <c r="C123" s="34">
        <f t="shared" si="28"/>
        <v>46601</v>
      </c>
      <c r="D123" s="35">
        <f t="shared" si="23"/>
        <v>2027</v>
      </c>
      <c r="E123" s="36">
        <f t="shared" si="29"/>
        <v>13315.589999999997</v>
      </c>
      <c r="F123" s="36">
        <v>230.51</v>
      </c>
      <c r="G123" s="37">
        <f t="shared" si="24"/>
        <v>1.7311286995168824E-2</v>
      </c>
      <c r="H123" s="36">
        <f t="shared" si="32"/>
        <v>100</v>
      </c>
      <c r="I123" s="36">
        <f t="shared" si="25"/>
        <v>13646.099999999997</v>
      </c>
      <c r="K123" s="36">
        <f t="shared" si="33"/>
        <v>704.18771084019272</v>
      </c>
      <c r="L123" s="37">
        <v>2.5000000000000001E-2</v>
      </c>
      <c r="M123" s="36">
        <f t="shared" si="26"/>
        <v>100</v>
      </c>
      <c r="N123" s="36">
        <f t="shared" si="30"/>
        <v>28971.696144447902</v>
      </c>
      <c r="P123" s="38">
        <f t="shared" si="31"/>
        <v>5842.05</v>
      </c>
      <c r="Q123" s="56"/>
      <c r="R123" s="40"/>
      <c r="S123" s="36">
        <f t="shared" si="34"/>
        <v>100</v>
      </c>
      <c r="T123" s="36">
        <f t="shared" si="27"/>
        <v>5942.05</v>
      </c>
      <c r="U123" s="41">
        <f>IF(SUM($U$4:U122)=1,0,IF(SUM($Q$4:Q123)&gt;39891.29,1,0))</f>
        <v>0</v>
      </c>
      <c r="V123" s="36"/>
      <c r="W123" s="36"/>
      <c r="X123" s="36"/>
      <c r="Y123" s="36"/>
      <c r="AA123" s="42"/>
      <c r="AB123" s="42"/>
      <c r="AC123" s="43"/>
      <c r="AD123" s="43"/>
      <c r="AE123" s="42"/>
      <c r="AF123" s="44"/>
      <c r="AG123" s="45"/>
      <c r="AH123" s="43"/>
      <c r="AI123" s="46"/>
      <c r="AJ123" s="47"/>
      <c r="AL123" s="114"/>
      <c r="AV123" s="32"/>
    </row>
    <row r="124" spans="2:48" ht="16.5" thickBot="1" x14ac:dyDescent="0.3">
      <c r="B124" s="15">
        <v>121</v>
      </c>
      <c r="C124" s="16">
        <f t="shared" si="28"/>
        <v>46608</v>
      </c>
      <c r="D124" s="17">
        <f t="shared" si="23"/>
        <v>2027</v>
      </c>
      <c r="E124" s="18">
        <f t="shared" si="29"/>
        <v>13646.099999999997</v>
      </c>
      <c r="F124" s="18">
        <v>237.42</v>
      </c>
      <c r="G124" s="19">
        <f t="shared" si="24"/>
        <v>1.739837755842329E-2</v>
      </c>
      <c r="H124" s="18">
        <f t="shared" si="32"/>
        <v>0</v>
      </c>
      <c r="I124" s="18">
        <f t="shared" si="25"/>
        <v>13883.519999999997</v>
      </c>
      <c r="K124" s="18">
        <f t="shared" si="33"/>
        <v>724.29240361119764</v>
      </c>
      <c r="L124" s="19">
        <v>2.5000000000000001E-2</v>
      </c>
      <c r="M124" s="18">
        <f t="shared" si="26"/>
        <v>0</v>
      </c>
      <c r="N124" s="18">
        <f t="shared" si="30"/>
        <v>29695.9885480591</v>
      </c>
      <c r="P124" s="20">
        <f t="shared" si="31"/>
        <v>5942.05</v>
      </c>
      <c r="Q124" s="59"/>
      <c r="R124" s="22"/>
      <c r="S124" s="18">
        <f t="shared" si="34"/>
        <v>0</v>
      </c>
      <c r="T124" s="18">
        <f t="shared" si="27"/>
        <v>5942.05</v>
      </c>
      <c r="U124" s="41">
        <f>IF(SUM($U$4:U123)=1,0,IF(SUM($Q$4:Q124)&gt;39891.29,1,0))</f>
        <v>0</v>
      </c>
      <c r="V124" s="23"/>
      <c r="W124" s="23"/>
      <c r="X124" s="23"/>
      <c r="Y124" s="23"/>
      <c r="AA124" s="51"/>
      <c r="AB124" s="51"/>
      <c r="AC124" s="52"/>
      <c r="AD124" s="52"/>
      <c r="AE124" s="51"/>
      <c r="AF124" s="53"/>
      <c r="AG124" s="54"/>
      <c r="AH124" s="52"/>
      <c r="AI124" s="28"/>
      <c r="AJ124" s="55"/>
      <c r="AL124" s="114"/>
      <c r="AV124" s="32"/>
    </row>
    <row r="125" spans="2:48" ht="16.5" thickBot="1" x14ac:dyDescent="0.3">
      <c r="B125" s="33">
        <v>122</v>
      </c>
      <c r="C125" s="34">
        <f t="shared" si="28"/>
        <v>46615</v>
      </c>
      <c r="D125" s="35">
        <f t="shared" si="23"/>
        <v>2027</v>
      </c>
      <c r="E125" s="36">
        <f t="shared" si="29"/>
        <v>13883.519999999997</v>
      </c>
      <c r="F125" s="36">
        <v>244.55</v>
      </c>
      <c r="G125" s="37">
        <f t="shared" si="24"/>
        <v>1.7614409025953078E-2</v>
      </c>
      <c r="H125" s="36">
        <f t="shared" si="32"/>
        <v>100</v>
      </c>
      <c r="I125" s="36">
        <f t="shared" si="25"/>
        <v>14228.069999999996</v>
      </c>
      <c r="K125" s="36">
        <f t="shared" si="33"/>
        <v>742.39971370147759</v>
      </c>
      <c r="L125" s="37">
        <v>2.5000000000000001E-2</v>
      </c>
      <c r="M125" s="36">
        <f t="shared" si="26"/>
        <v>100</v>
      </c>
      <c r="N125" s="36">
        <f t="shared" si="30"/>
        <v>30538.388261760578</v>
      </c>
      <c r="P125" s="38">
        <f t="shared" si="31"/>
        <v>5942.05</v>
      </c>
      <c r="Q125" s="56"/>
      <c r="R125" s="40"/>
      <c r="S125" s="36">
        <f t="shared" si="34"/>
        <v>100</v>
      </c>
      <c r="T125" s="36">
        <f t="shared" si="27"/>
        <v>6042.05</v>
      </c>
      <c r="U125" s="41">
        <f>IF(SUM($U$4:U124)=1,0,IF(SUM($Q$4:Q125)&gt;39891.29,1,0))</f>
        <v>0</v>
      </c>
      <c r="V125" s="36"/>
      <c r="W125" s="36"/>
      <c r="X125" s="36"/>
      <c r="Y125" s="36"/>
      <c r="AA125" s="42"/>
      <c r="AB125" s="42"/>
      <c r="AC125" s="43"/>
      <c r="AD125" s="43"/>
      <c r="AE125" s="42"/>
      <c r="AF125" s="44"/>
      <c r="AG125" s="45"/>
      <c r="AH125" s="43"/>
      <c r="AI125" s="46"/>
      <c r="AJ125" s="47"/>
      <c r="AL125" s="114"/>
      <c r="AV125" s="32"/>
    </row>
    <row r="126" spans="2:48" ht="16.5" thickBot="1" x14ac:dyDescent="0.3">
      <c r="B126" s="15">
        <v>123</v>
      </c>
      <c r="C126" s="16">
        <f t="shared" si="28"/>
        <v>46622</v>
      </c>
      <c r="D126" s="17">
        <f t="shared" si="23"/>
        <v>2027</v>
      </c>
      <c r="E126" s="18">
        <f t="shared" si="29"/>
        <v>14228.069999999996</v>
      </c>
      <c r="F126" s="18">
        <v>251.88</v>
      </c>
      <c r="G126" s="19">
        <f t="shared" si="24"/>
        <v>1.7703033510518298E-2</v>
      </c>
      <c r="H126" s="18">
        <f t="shared" si="32"/>
        <v>0</v>
      </c>
      <c r="I126" s="18">
        <f t="shared" si="25"/>
        <v>14479.949999999995</v>
      </c>
      <c r="K126" s="18">
        <f t="shared" si="33"/>
        <v>763.45970654401447</v>
      </c>
      <c r="L126" s="19">
        <v>2.5000000000000001E-2</v>
      </c>
      <c r="M126" s="18">
        <f t="shared" si="26"/>
        <v>0</v>
      </c>
      <c r="N126" s="18">
        <f t="shared" si="30"/>
        <v>31301.847968304592</v>
      </c>
      <c r="P126" s="20">
        <f t="shared" si="31"/>
        <v>6042.05</v>
      </c>
      <c r="Q126" s="59"/>
      <c r="R126" s="22"/>
      <c r="S126" s="18">
        <f t="shared" si="34"/>
        <v>0</v>
      </c>
      <c r="T126" s="18">
        <f t="shared" si="27"/>
        <v>6042.05</v>
      </c>
      <c r="U126" s="41">
        <f>IF(SUM($U$4:U125)=1,0,IF(SUM($Q$4:Q126)&gt;39891.29,1,0))</f>
        <v>0</v>
      </c>
      <c r="V126" s="23"/>
      <c r="W126" s="23"/>
      <c r="X126" s="23"/>
      <c r="Y126" s="23"/>
      <c r="AA126" s="51"/>
      <c r="AB126" s="51"/>
      <c r="AC126" s="52"/>
      <c r="AD126" s="52"/>
      <c r="AE126" s="51"/>
      <c r="AF126" s="53"/>
      <c r="AG126" s="54"/>
      <c r="AH126" s="52"/>
      <c r="AI126" s="28"/>
      <c r="AJ126" s="55"/>
      <c r="AL126" s="114"/>
      <c r="AV126" s="32"/>
    </row>
    <row r="127" spans="2:48" ht="16.5" thickBot="1" x14ac:dyDescent="0.3">
      <c r="B127" s="33">
        <v>124</v>
      </c>
      <c r="C127" s="34">
        <f t="shared" si="28"/>
        <v>46629</v>
      </c>
      <c r="D127" s="35">
        <f t="shared" si="23"/>
        <v>2027</v>
      </c>
      <c r="E127" s="36">
        <f t="shared" si="29"/>
        <v>14479.949999999995</v>
      </c>
      <c r="F127" s="36">
        <v>259.44</v>
      </c>
      <c r="G127" s="37">
        <f t="shared" si="24"/>
        <v>1.7917188940569553E-2</v>
      </c>
      <c r="H127" s="36">
        <f t="shared" si="32"/>
        <v>100</v>
      </c>
      <c r="I127" s="36">
        <f t="shared" si="25"/>
        <v>14839.389999999996</v>
      </c>
      <c r="K127" s="36">
        <f t="shared" si="33"/>
        <v>782.54619920761479</v>
      </c>
      <c r="L127" s="37">
        <v>2.5000000000000001E-2</v>
      </c>
      <c r="M127" s="36">
        <f t="shared" si="26"/>
        <v>100</v>
      </c>
      <c r="N127" s="36">
        <f t="shared" si="30"/>
        <v>32184.394167512208</v>
      </c>
      <c r="P127" s="38">
        <f t="shared" si="31"/>
        <v>6042.05</v>
      </c>
      <c r="Q127" s="56"/>
      <c r="R127" s="40"/>
      <c r="S127" s="36">
        <f t="shared" si="34"/>
        <v>100</v>
      </c>
      <c r="T127" s="36">
        <f t="shared" si="27"/>
        <v>6142.05</v>
      </c>
      <c r="U127" s="41">
        <f>IF(SUM($U$4:U126)=1,0,IF(SUM($Q$4:Q127)&gt;39891.29,1,0))</f>
        <v>0</v>
      </c>
      <c r="V127" s="36"/>
      <c r="W127" s="36"/>
      <c r="X127" s="36"/>
      <c r="Y127" s="36"/>
      <c r="AA127" s="42"/>
      <c r="AB127" s="42"/>
      <c r="AC127" s="43"/>
      <c r="AD127" s="43"/>
      <c r="AE127" s="42"/>
      <c r="AF127" s="44"/>
      <c r="AG127" s="45"/>
      <c r="AH127" s="43"/>
      <c r="AI127" s="46"/>
      <c r="AJ127" s="47"/>
      <c r="AL127" s="114"/>
      <c r="AV127" s="32"/>
    </row>
    <row r="128" spans="2:48" ht="16.5" thickBot="1" x14ac:dyDescent="0.3">
      <c r="B128" s="15">
        <v>125</v>
      </c>
      <c r="C128" s="16">
        <f t="shared" si="28"/>
        <v>46636</v>
      </c>
      <c r="D128" s="17">
        <f t="shared" si="23"/>
        <v>2027</v>
      </c>
      <c r="E128" s="18">
        <f t="shared" si="29"/>
        <v>14839.389999999996</v>
      </c>
      <c r="F128" s="18">
        <v>267.22000000000003</v>
      </c>
      <c r="G128" s="19">
        <f t="shared" si="24"/>
        <v>1.800747874407237E-2</v>
      </c>
      <c r="H128" s="18">
        <f t="shared" si="32"/>
        <v>0</v>
      </c>
      <c r="I128" s="18">
        <f t="shared" si="25"/>
        <v>15106.609999999995</v>
      </c>
      <c r="K128" s="18">
        <f t="shared" si="33"/>
        <v>804.60985418780524</v>
      </c>
      <c r="L128" s="19">
        <v>2.5000000000000001E-2</v>
      </c>
      <c r="M128" s="18">
        <f t="shared" si="26"/>
        <v>0</v>
      </c>
      <c r="N128" s="18">
        <f t="shared" si="30"/>
        <v>32989.004021700013</v>
      </c>
      <c r="P128" s="20">
        <f t="shared" si="31"/>
        <v>6142.05</v>
      </c>
      <c r="Q128" s="59"/>
      <c r="R128" s="22"/>
      <c r="S128" s="18">
        <f t="shared" si="34"/>
        <v>0</v>
      </c>
      <c r="T128" s="18">
        <f t="shared" si="27"/>
        <v>6142.05</v>
      </c>
      <c r="U128" s="41">
        <f>IF(SUM($U$4:U127)=1,0,IF(SUM($Q$4:Q128)&gt;39891.29,1,0))</f>
        <v>0</v>
      </c>
      <c r="V128" s="23"/>
      <c r="W128" s="23"/>
      <c r="X128" s="23"/>
      <c r="Y128" s="23"/>
      <c r="AA128" s="51"/>
      <c r="AB128" s="51"/>
      <c r="AC128" s="52"/>
      <c r="AD128" s="52"/>
      <c r="AE128" s="51"/>
      <c r="AF128" s="53"/>
      <c r="AG128" s="54"/>
      <c r="AH128" s="52"/>
      <c r="AI128" s="28"/>
      <c r="AJ128" s="55"/>
      <c r="AL128" s="114"/>
      <c r="AV128" s="32"/>
    </row>
    <row r="129" spans="2:48" ht="16.5" thickBot="1" x14ac:dyDescent="0.3">
      <c r="B129" s="33">
        <v>126</v>
      </c>
      <c r="C129" s="34">
        <f t="shared" si="28"/>
        <v>46643</v>
      </c>
      <c r="D129" s="35">
        <f t="shared" si="23"/>
        <v>2027</v>
      </c>
      <c r="E129" s="36">
        <f t="shared" si="29"/>
        <v>15106.609999999995</v>
      </c>
      <c r="F129" s="36">
        <v>275.24</v>
      </c>
      <c r="G129" s="37">
        <f t="shared" si="24"/>
        <v>1.821983886523847E-2</v>
      </c>
      <c r="H129" s="36">
        <f t="shared" si="32"/>
        <v>100</v>
      </c>
      <c r="I129" s="36">
        <f t="shared" si="25"/>
        <v>15481.849999999995</v>
      </c>
      <c r="K129" s="36">
        <f t="shared" si="33"/>
        <v>824.7251005425004</v>
      </c>
      <c r="L129" s="37">
        <v>2.5000000000000001E-2</v>
      </c>
      <c r="M129" s="36">
        <f t="shared" si="26"/>
        <v>100</v>
      </c>
      <c r="N129" s="36">
        <f t="shared" si="30"/>
        <v>33913.729122242512</v>
      </c>
      <c r="P129" s="38">
        <f t="shared" si="31"/>
        <v>6142.05</v>
      </c>
      <c r="Q129" s="56"/>
      <c r="R129" s="40"/>
      <c r="S129" s="36">
        <f t="shared" si="34"/>
        <v>100</v>
      </c>
      <c r="T129" s="36">
        <f t="shared" si="27"/>
        <v>6242.05</v>
      </c>
      <c r="U129" s="41">
        <f>IF(SUM($U$4:U128)=1,0,IF(SUM($Q$4:Q129)&gt;39891.29,1,0))</f>
        <v>0</v>
      </c>
      <c r="V129" s="36"/>
      <c r="W129" s="36"/>
      <c r="X129" s="36"/>
      <c r="Y129" s="36"/>
      <c r="AA129" s="42"/>
      <c r="AB129" s="42"/>
      <c r="AC129" s="43"/>
      <c r="AD129" s="43"/>
      <c r="AE129" s="42"/>
      <c r="AF129" s="44"/>
      <c r="AG129" s="45"/>
      <c r="AH129" s="43"/>
      <c r="AI129" s="46"/>
      <c r="AJ129" s="47"/>
      <c r="AL129" s="114"/>
      <c r="AV129" s="32"/>
    </row>
    <row r="130" spans="2:48" ht="16.5" thickBot="1" x14ac:dyDescent="0.3">
      <c r="B130" s="15">
        <v>127</v>
      </c>
      <c r="C130" s="16">
        <f t="shared" si="28"/>
        <v>46650</v>
      </c>
      <c r="D130" s="17">
        <f t="shared" si="23"/>
        <v>2027</v>
      </c>
      <c r="E130" s="18">
        <f t="shared" si="29"/>
        <v>15481.849999999995</v>
      </c>
      <c r="F130" s="18">
        <v>283.5</v>
      </c>
      <c r="G130" s="19">
        <f t="shared" si="24"/>
        <v>1.8311765066836332E-2</v>
      </c>
      <c r="H130" s="18">
        <f t="shared" si="32"/>
        <v>0</v>
      </c>
      <c r="I130" s="18">
        <f t="shared" si="25"/>
        <v>15765.349999999995</v>
      </c>
      <c r="K130" s="18">
        <f t="shared" si="33"/>
        <v>847.8432280560628</v>
      </c>
      <c r="L130" s="19">
        <v>2.5000000000000001E-2</v>
      </c>
      <c r="M130" s="18">
        <f t="shared" si="26"/>
        <v>0</v>
      </c>
      <c r="N130" s="18">
        <f t="shared" si="30"/>
        <v>34761.572350298578</v>
      </c>
      <c r="P130" s="20">
        <f t="shared" si="31"/>
        <v>6242.05</v>
      </c>
      <c r="Q130" s="59"/>
      <c r="R130" s="22"/>
      <c r="S130" s="18">
        <f t="shared" si="34"/>
        <v>0</v>
      </c>
      <c r="T130" s="18">
        <f t="shared" si="27"/>
        <v>6242.05</v>
      </c>
      <c r="U130" s="41">
        <f>IF(SUM($U$4:U129)=1,0,IF(SUM($Q$4:Q130)&gt;39891.29,1,0))</f>
        <v>0</v>
      </c>
      <c r="V130" s="23"/>
      <c r="W130" s="23"/>
      <c r="X130" s="23"/>
      <c r="Y130" s="23"/>
      <c r="AA130" s="51"/>
      <c r="AB130" s="51"/>
      <c r="AC130" s="52"/>
      <c r="AD130" s="52"/>
      <c r="AE130" s="51"/>
      <c r="AF130" s="53"/>
      <c r="AG130" s="54"/>
      <c r="AH130" s="52"/>
      <c r="AI130" s="28"/>
      <c r="AJ130" s="55"/>
      <c r="AL130" s="114"/>
      <c r="AV130" s="32"/>
    </row>
    <row r="131" spans="2:48" ht="16.5" thickBot="1" x14ac:dyDescent="0.3">
      <c r="B131" s="33">
        <v>128</v>
      </c>
      <c r="C131" s="34">
        <f t="shared" si="28"/>
        <v>46657</v>
      </c>
      <c r="D131" s="35">
        <f t="shared" si="23"/>
        <v>2027</v>
      </c>
      <c r="E131" s="36">
        <f t="shared" si="29"/>
        <v>15765.349999999995</v>
      </c>
      <c r="F131" s="36">
        <v>292</v>
      </c>
      <c r="G131" s="37">
        <f t="shared" si="24"/>
        <v>1.8521631299019691E-2</v>
      </c>
      <c r="H131" s="36">
        <f t="shared" si="32"/>
        <v>100</v>
      </c>
      <c r="I131" s="36">
        <f t="shared" si="25"/>
        <v>16157.349999999995</v>
      </c>
      <c r="K131" s="36">
        <f t="shared" si="33"/>
        <v>869.03930875746448</v>
      </c>
      <c r="L131" s="37">
        <v>2.5000000000000001E-2</v>
      </c>
      <c r="M131" s="36">
        <f t="shared" si="26"/>
        <v>100</v>
      </c>
      <c r="N131" s="36">
        <f t="shared" si="30"/>
        <v>35730.611659056041</v>
      </c>
      <c r="P131" s="38">
        <f t="shared" si="31"/>
        <v>6242.05</v>
      </c>
      <c r="Q131" s="56"/>
      <c r="R131" s="40"/>
      <c r="S131" s="36">
        <f t="shared" si="34"/>
        <v>100</v>
      </c>
      <c r="T131" s="36">
        <f t="shared" si="27"/>
        <v>6342.05</v>
      </c>
      <c r="U131" s="41">
        <f>IF(SUM($U$4:U130)=1,0,IF(SUM($Q$4:Q131)&gt;39891.29,1,0))</f>
        <v>0</v>
      </c>
      <c r="V131" s="36"/>
      <c r="W131" s="36"/>
      <c r="X131" s="36"/>
      <c r="Y131" s="36"/>
      <c r="AA131" s="42"/>
      <c r="AB131" s="42"/>
      <c r="AC131" s="43"/>
      <c r="AD131" s="43"/>
      <c r="AE131" s="42"/>
      <c r="AF131" s="44"/>
      <c r="AG131" s="45"/>
      <c r="AH131" s="43"/>
      <c r="AI131" s="46"/>
      <c r="AJ131" s="47"/>
      <c r="AL131" s="114"/>
      <c r="AV131" s="32"/>
    </row>
    <row r="132" spans="2:48" ht="16.5" thickBot="1" x14ac:dyDescent="0.3">
      <c r="B132" s="15">
        <v>129</v>
      </c>
      <c r="C132" s="16">
        <f t="shared" si="28"/>
        <v>46664</v>
      </c>
      <c r="D132" s="17">
        <f t="shared" si="23"/>
        <v>2027</v>
      </c>
      <c r="E132" s="18">
        <f t="shared" si="29"/>
        <v>16157.349999999995</v>
      </c>
      <c r="F132" s="18">
        <v>300.76</v>
      </c>
      <c r="G132" s="19">
        <f t="shared" si="24"/>
        <v>1.8614438630097145E-2</v>
      </c>
      <c r="H132" s="18">
        <f t="shared" si="32"/>
        <v>0</v>
      </c>
      <c r="I132" s="18">
        <f t="shared" si="25"/>
        <v>16458.109999999993</v>
      </c>
      <c r="K132" s="18">
        <f t="shared" si="33"/>
        <v>893.2652914764011</v>
      </c>
      <c r="L132" s="19">
        <v>2.5000000000000001E-2</v>
      </c>
      <c r="M132" s="18">
        <f t="shared" si="26"/>
        <v>0</v>
      </c>
      <c r="N132" s="18">
        <f t="shared" si="30"/>
        <v>36623.876950532445</v>
      </c>
      <c r="P132" s="20">
        <f t="shared" si="31"/>
        <v>6342.05</v>
      </c>
      <c r="Q132" s="59"/>
      <c r="R132" s="22"/>
      <c r="S132" s="18">
        <f t="shared" si="34"/>
        <v>0</v>
      </c>
      <c r="T132" s="18">
        <f t="shared" si="27"/>
        <v>6342.05</v>
      </c>
      <c r="U132" s="41">
        <f>IF(SUM($U$4:U131)=1,0,IF(SUM($Q$4:Q132)&gt;39891.29,1,0))</f>
        <v>0</v>
      </c>
      <c r="V132" s="23"/>
      <c r="W132" s="23"/>
      <c r="X132" s="23"/>
      <c r="Y132" s="23"/>
      <c r="AA132" s="51"/>
      <c r="AB132" s="51"/>
      <c r="AC132" s="52"/>
      <c r="AD132" s="52"/>
      <c r="AE132" s="51"/>
      <c r="AF132" s="53"/>
      <c r="AG132" s="54"/>
      <c r="AH132" s="52"/>
      <c r="AI132" s="28"/>
      <c r="AJ132" s="55"/>
      <c r="AL132" s="114"/>
      <c r="AV132" s="32"/>
    </row>
    <row r="133" spans="2:48" ht="16.5" thickBot="1" x14ac:dyDescent="0.3">
      <c r="B133" s="33">
        <v>130</v>
      </c>
      <c r="C133" s="34">
        <f t="shared" si="28"/>
        <v>46671</v>
      </c>
      <c r="D133" s="35">
        <f t="shared" ref="D133:D196" si="35">YEAR(C133)</f>
        <v>2027</v>
      </c>
      <c r="E133" s="36">
        <f t="shared" si="29"/>
        <v>16458.109999999993</v>
      </c>
      <c r="F133" s="36">
        <v>309.77999999999997</v>
      </c>
      <c r="G133" s="37">
        <f t="shared" ref="G133:G196" si="36">F133/E133</f>
        <v>1.8822331361255946E-2</v>
      </c>
      <c r="H133" s="36">
        <f t="shared" si="32"/>
        <v>100</v>
      </c>
      <c r="I133" s="36">
        <f t="shared" ref="I133:I196" si="37">E133+F133+H133</f>
        <v>16867.889999999992</v>
      </c>
      <c r="K133" s="36">
        <f t="shared" si="33"/>
        <v>915.59692376331122</v>
      </c>
      <c r="L133" s="37">
        <v>2.5000000000000001E-2</v>
      </c>
      <c r="M133" s="36">
        <f t="shared" ref="M133:M196" si="38">H133</f>
        <v>100</v>
      </c>
      <c r="N133" s="36">
        <f t="shared" si="30"/>
        <v>37639.473874295756</v>
      </c>
      <c r="P133" s="38">
        <f t="shared" si="31"/>
        <v>6342.05</v>
      </c>
      <c r="Q133" s="56"/>
      <c r="R133" s="40"/>
      <c r="S133" s="36">
        <f t="shared" si="34"/>
        <v>100</v>
      </c>
      <c r="T133" s="36">
        <f t="shared" ref="T133:T196" si="39">P133+Q133+S133</f>
        <v>6442.05</v>
      </c>
      <c r="U133" s="41">
        <f>IF(SUM($U$4:U132)=1,0,IF(SUM($Q$4:Q133)&gt;39891.29,1,0))</f>
        <v>0</v>
      </c>
      <c r="V133" s="36"/>
      <c r="W133" s="36"/>
      <c r="X133" s="36"/>
      <c r="Y133" s="36"/>
      <c r="AA133" s="42"/>
      <c r="AB133" s="42"/>
      <c r="AC133" s="43"/>
      <c r="AD133" s="43"/>
      <c r="AE133" s="42"/>
      <c r="AF133" s="44"/>
      <c r="AG133" s="45"/>
      <c r="AH133" s="43"/>
      <c r="AI133" s="46"/>
      <c r="AJ133" s="47"/>
      <c r="AL133" s="114"/>
      <c r="AV133" s="32"/>
    </row>
    <row r="134" spans="2:48" ht="16.5" thickBot="1" x14ac:dyDescent="0.3">
      <c r="B134" s="15">
        <v>131</v>
      </c>
      <c r="C134" s="16">
        <f t="shared" ref="C134:C197" si="40">C133+7</f>
        <v>46678</v>
      </c>
      <c r="D134" s="17">
        <f t="shared" si="35"/>
        <v>2027</v>
      </c>
      <c r="E134" s="18">
        <f t="shared" ref="E134:E197" si="41">I133</f>
        <v>16867.889999999992</v>
      </c>
      <c r="F134" s="18">
        <v>319.08</v>
      </c>
      <c r="G134" s="19">
        <f t="shared" si="36"/>
        <v>1.8916414560445922E-2</v>
      </c>
      <c r="H134" s="18">
        <f t="shared" si="32"/>
        <v>0</v>
      </c>
      <c r="I134" s="18">
        <f t="shared" si="37"/>
        <v>17186.969999999994</v>
      </c>
      <c r="K134" s="18">
        <f t="shared" si="33"/>
        <v>940.98684685739397</v>
      </c>
      <c r="L134" s="19">
        <v>2.5000000000000001E-2</v>
      </c>
      <c r="M134" s="18">
        <f t="shared" si="38"/>
        <v>0</v>
      </c>
      <c r="N134" s="18">
        <f t="shared" ref="N134:N197" si="42">N133+K134+M134</f>
        <v>38580.460721153147</v>
      </c>
      <c r="P134" s="20">
        <f t="shared" ref="P134:P197" si="43">T133</f>
        <v>6442.05</v>
      </c>
      <c r="Q134" s="59"/>
      <c r="R134" s="22"/>
      <c r="S134" s="18">
        <f t="shared" si="34"/>
        <v>0</v>
      </c>
      <c r="T134" s="18">
        <f t="shared" si="39"/>
        <v>6442.05</v>
      </c>
      <c r="U134" s="41">
        <f>IF(SUM($U$4:U133)=1,0,IF(SUM($Q$4:Q134)&gt;39891.29,1,0))</f>
        <v>0</v>
      </c>
      <c r="V134" s="23"/>
      <c r="W134" s="23"/>
      <c r="X134" s="23"/>
      <c r="Y134" s="23"/>
      <c r="AA134" s="51"/>
      <c r="AB134" s="51"/>
      <c r="AC134" s="52"/>
      <c r="AD134" s="52"/>
      <c r="AE134" s="51"/>
      <c r="AF134" s="53"/>
      <c r="AG134" s="54"/>
      <c r="AH134" s="52"/>
      <c r="AI134" s="28"/>
      <c r="AJ134" s="55"/>
      <c r="AL134" s="114"/>
      <c r="AV134" s="32"/>
    </row>
    <row r="135" spans="2:48" ht="16.5" thickBot="1" x14ac:dyDescent="0.3">
      <c r="B135" s="33">
        <v>132</v>
      </c>
      <c r="C135" s="34">
        <f t="shared" si="40"/>
        <v>46685</v>
      </c>
      <c r="D135" s="35">
        <f t="shared" si="35"/>
        <v>2027</v>
      </c>
      <c r="E135" s="36">
        <f t="shared" si="41"/>
        <v>17186.969999999994</v>
      </c>
      <c r="F135" s="36">
        <v>328.65</v>
      </c>
      <c r="G135" s="37">
        <f t="shared" si="36"/>
        <v>1.9122044199762964E-2</v>
      </c>
      <c r="H135" s="36">
        <f t="shared" si="32"/>
        <v>100</v>
      </c>
      <c r="I135" s="36">
        <f t="shared" si="37"/>
        <v>17615.619999999995</v>
      </c>
      <c r="K135" s="36">
        <f t="shared" si="33"/>
        <v>964.51151802882873</v>
      </c>
      <c r="L135" s="37">
        <v>2.5000000000000001E-2</v>
      </c>
      <c r="M135" s="36">
        <f t="shared" si="38"/>
        <v>100</v>
      </c>
      <c r="N135" s="36">
        <f t="shared" si="42"/>
        <v>39644.972239181974</v>
      </c>
      <c r="P135" s="38">
        <f t="shared" si="43"/>
        <v>6442.05</v>
      </c>
      <c r="Q135" s="56"/>
      <c r="R135" s="40"/>
      <c r="S135" s="36">
        <f t="shared" si="34"/>
        <v>100</v>
      </c>
      <c r="T135" s="36">
        <f t="shared" si="39"/>
        <v>6542.05</v>
      </c>
      <c r="U135" s="41">
        <f>IF(SUM($U$4:U134)=1,0,IF(SUM($Q$4:Q135)&gt;39891.29,1,0))</f>
        <v>0</v>
      </c>
      <c r="V135" s="36"/>
      <c r="W135" s="36"/>
      <c r="X135" s="36"/>
      <c r="Y135" s="36"/>
      <c r="AA135" s="42"/>
      <c r="AB135" s="42"/>
      <c r="AC135" s="43"/>
      <c r="AD135" s="43"/>
      <c r="AE135" s="42"/>
      <c r="AF135" s="44"/>
      <c r="AG135" s="45"/>
      <c r="AH135" s="43"/>
      <c r="AI135" s="46"/>
      <c r="AJ135" s="47"/>
      <c r="AL135" s="114"/>
      <c r="AV135" s="32"/>
    </row>
    <row r="136" spans="2:48" ht="16.5" thickBot="1" x14ac:dyDescent="0.3">
      <c r="B136" s="15">
        <v>133</v>
      </c>
      <c r="C136" s="16">
        <f t="shared" si="40"/>
        <v>46692</v>
      </c>
      <c r="D136" s="17">
        <f t="shared" si="35"/>
        <v>2027</v>
      </c>
      <c r="E136" s="18">
        <f t="shared" si="41"/>
        <v>17615.619999999995</v>
      </c>
      <c r="F136" s="18">
        <v>338.51</v>
      </c>
      <c r="G136" s="19">
        <f t="shared" si="36"/>
        <v>1.9216468111823488E-2</v>
      </c>
      <c r="H136" s="18">
        <f t="shared" ref="H136:H199" si="44">S136</f>
        <v>0</v>
      </c>
      <c r="I136" s="18">
        <f t="shared" si="37"/>
        <v>17954.129999999994</v>
      </c>
      <c r="K136" s="18">
        <f t="shared" si="33"/>
        <v>991.12430597954938</v>
      </c>
      <c r="L136" s="19">
        <v>2.5000000000000001E-2</v>
      </c>
      <c r="M136" s="18">
        <f t="shared" si="38"/>
        <v>0</v>
      </c>
      <c r="N136" s="18">
        <f t="shared" si="42"/>
        <v>40636.096545161527</v>
      </c>
      <c r="P136" s="20">
        <f t="shared" si="43"/>
        <v>6542.05</v>
      </c>
      <c r="Q136" s="59"/>
      <c r="R136" s="22"/>
      <c r="S136" s="18">
        <f t="shared" si="34"/>
        <v>0</v>
      </c>
      <c r="T136" s="18">
        <f t="shared" si="39"/>
        <v>6542.05</v>
      </c>
      <c r="U136" s="41">
        <f>IF(SUM($U$4:U135)=1,0,IF(SUM($Q$4:Q136)&gt;39891.29,1,0))</f>
        <v>0</v>
      </c>
      <c r="V136" s="23"/>
      <c r="W136" s="23"/>
      <c r="X136" s="23"/>
      <c r="Y136" s="23"/>
      <c r="AA136" s="51"/>
      <c r="AB136" s="51"/>
      <c r="AC136" s="52"/>
      <c r="AD136" s="52"/>
      <c r="AE136" s="51"/>
      <c r="AF136" s="53"/>
      <c r="AG136" s="54"/>
      <c r="AH136" s="52"/>
      <c r="AI136" s="28"/>
      <c r="AJ136" s="55"/>
      <c r="AL136" s="114"/>
      <c r="AV136" s="32"/>
    </row>
    <row r="137" spans="2:48" ht="16.5" thickBot="1" x14ac:dyDescent="0.3">
      <c r="B137" s="33">
        <v>134</v>
      </c>
      <c r="C137" s="34">
        <f t="shared" si="40"/>
        <v>46699</v>
      </c>
      <c r="D137" s="35">
        <f t="shared" si="35"/>
        <v>2027</v>
      </c>
      <c r="E137" s="36">
        <f t="shared" si="41"/>
        <v>17954.129999999994</v>
      </c>
      <c r="F137" s="36">
        <v>348.66</v>
      </c>
      <c r="G137" s="37">
        <f t="shared" si="36"/>
        <v>1.9419487326871317E-2</v>
      </c>
      <c r="H137" s="36">
        <f t="shared" si="44"/>
        <v>100</v>
      </c>
      <c r="I137" s="36">
        <f t="shared" si="37"/>
        <v>18402.789999999994</v>
      </c>
      <c r="K137" s="36">
        <f t="shared" si="33"/>
        <v>1015.9024136290382</v>
      </c>
      <c r="L137" s="37">
        <v>2.5000000000000001E-2</v>
      </c>
      <c r="M137" s="36">
        <f t="shared" si="38"/>
        <v>100</v>
      </c>
      <c r="N137" s="36">
        <f t="shared" si="42"/>
        <v>41751.998958790566</v>
      </c>
      <c r="P137" s="38">
        <f t="shared" si="43"/>
        <v>6542.05</v>
      </c>
      <c r="Q137" s="56"/>
      <c r="R137" s="40"/>
      <c r="S137" s="36">
        <f t="shared" si="34"/>
        <v>100</v>
      </c>
      <c r="T137" s="36">
        <f t="shared" si="39"/>
        <v>6642.05</v>
      </c>
      <c r="U137" s="41">
        <f>IF(SUM($U$4:U136)=1,0,IF(SUM($Q$4:Q137)&gt;39891.29,1,0))</f>
        <v>0</v>
      </c>
      <c r="V137" s="36"/>
      <c r="W137" s="36"/>
      <c r="X137" s="36"/>
      <c r="Y137" s="36"/>
      <c r="AA137" s="42"/>
      <c r="AB137" s="42"/>
      <c r="AC137" s="43"/>
      <c r="AD137" s="43"/>
      <c r="AE137" s="42"/>
      <c r="AF137" s="44"/>
      <c r="AG137" s="45"/>
      <c r="AH137" s="43"/>
      <c r="AI137" s="46"/>
      <c r="AJ137" s="47"/>
      <c r="AL137" s="114"/>
      <c r="AV137" s="32"/>
    </row>
    <row r="138" spans="2:48" ht="16.5" thickBot="1" x14ac:dyDescent="0.3">
      <c r="B138" s="15">
        <v>135</v>
      </c>
      <c r="C138" s="16">
        <f t="shared" si="40"/>
        <v>46706</v>
      </c>
      <c r="D138" s="17">
        <f t="shared" si="35"/>
        <v>2027</v>
      </c>
      <c r="E138" s="18">
        <f t="shared" si="41"/>
        <v>18402.789999999994</v>
      </c>
      <c r="F138" s="18">
        <v>359.12</v>
      </c>
      <c r="G138" s="19">
        <f t="shared" si="36"/>
        <v>1.9514432322490238E-2</v>
      </c>
      <c r="H138" s="18">
        <f t="shared" si="44"/>
        <v>0</v>
      </c>
      <c r="I138" s="18">
        <f t="shared" si="37"/>
        <v>18761.909999999993</v>
      </c>
      <c r="K138" s="18">
        <f t="shared" si="33"/>
        <v>1043.7999739697641</v>
      </c>
      <c r="L138" s="19">
        <v>2.5000000000000001E-2</v>
      </c>
      <c r="M138" s="18">
        <f t="shared" si="38"/>
        <v>0</v>
      </c>
      <c r="N138" s="18">
        <f t="shared" si="42"/>
        <v>42795.798932760328</v>
      </c>
      <c r="P138" s="20">
        <f t="shared" si="43"/>
        <v>6642.05</v>
      </c>
      <c r="Q138" s="59"/>
      <c r="R138" s="22"/>
      <c r="S138" s="18">
        <f t="shared" si="34"/>
        <v>0</v>
      </c>
      <c r="T138" s="18">
        <f t="shared" si="39"/>
        <v>6642.05</v>
      </c>
      <c r="U138" s="41">
        <f>IF(SUM($U$4:U137)=1,0,IF(SUM($Q$4:Q138)&gt;39891.29,1,0))</f>
        <v>0</v>
      </c>
      <c r="V138" s="23"/>
      <c r="W138" s="23"/>
      <c r="X138" s="23"/>
      <c r="Y138" s="23"/>
      <c r="AA138" s="51"/>
      <c r="AB138" s="51"/>
      <c r="AC138" s="52"/>
      <c r="AD138" s="52"/>
      <c r="AE138" s="51"/>
      <c r="AF138" s="53"/>
      <c r="AG138" s="54"/>
      <c r="AH138" s="52"/>
      <c r="AI138" s="28"/>
      <c r="AJ138" s="55"/>
      <c r="AL138" s="114"/>
      <c r="AV138" s="32"/>
    </row>
    <row r="139" spans="2:48" ht="16.5" thickBot="1" x14ac:dyDescent="0.3">
      <c r="B139" s="33">
        <v>136</v>
      </c>
      <c r="C139" s="34">
        <f t="shared" si="40"/>
        <v>46713</v>
      </c>
      <c r="D139" s="35">
        <f t="shared" si="35"/>
        <v>2027</v>
      </c>
      <c r="E139" s="36">
        <f t="shared" si="41"/>
        <v>18761.909999999993</v>
      </c>
      <c r="F139" s="36">
        <v>369.9</v>
      </c>
      <c r="G139" s="37">
        <f t="shared" si="36"/>
        <v>1.9715476729181631E-2</v>
      </c>
      <c r="H139" s="36">
        <f t="shared" si="44"/>
        <v>100</v>
      </c>
      <c r="I139" s="36">
        <f t="shared" si="37"/>
        <v>19231.809999999994</v>
      </c>
      <c r="K139" s="36">
        <f t="shared" si="33"/>
        <v>1069.8949733190082</v>
      </c>
      <c r="L139" s="37">
        <v>2.5000000000000001E-2</v>
      </c>
      <c r="M139" s="36">
        <f t="shared" si="38"/>
        <v>100</v>
      </c>
      <c r="N139" s="36">
        <f t="shared" si="42"/>
        <v>43965.693906079337</v>
      </c>
      <c r="P139" s="38">
        <f t="shared" si="43"/>
        <v>6642.05</v>
      </c>
      <c r="Q139" s="56"/>
      <c r="R139" s="40"/>
      <c r="S139" s="36">
        <f t="shared" si="34"/>
        <v>100</v>
      </c>
      <c r="T139" s="36">
        <f t="shared" si="39"/>
        <v>6742.05</v>
      </c>
      <c r="U139" s="41">
        <f>IF(SUM($U$4:U138)=1,0,IF(SUM($Q$4:Q139)&gt;39891.29,1,0))</f>
        <v>0</v>
      </c>
      <c r="V139" s="36"/>
      <c r="W139" s="36"/>
      <c r="X139" s="36"/>
      <c r="Y139" s="36"/>
      <c r="AA139" s="42"/>
      <c r="AB139" s="42"/>
      <c r="AC139" s="43"/>
      <c r="AD139" s="43"/>
      <c r="AE139" s="42"/>
      <c r="AF139" s="44"/>
      <c r="AG139" s="45"/>
      <c r="AH139" s="43"/>
      <c r="AI139" s="46"/>
      <c r="AJ139" s="47"/>
      <c r="AL139" s="114"/>
      <c r="AV139" s="32"/>
    </row>
    <row r="140" spans="2:48" ht="16.5" thickBot="1" x14ac:dyDescent="0.3">
      <c r="B140" s="15">
        <v>137</v>
      </c>
      <c r="C140" s="16">
        <f t="shared" si="40"/>
        <v>46720</v>
      </c>
      <c r="D140" s="17">
        <f t="shared" si="35"/>
        <v>2027</v>
      </c>
      <c r="E140" s="18">
        <f t="shared" si="41"/>
        <v>19231.809999999994</v>
      </c>
      <c r="F140" s="18">
        <v>380.99</v>
      </c>
      <c r="G140" s="19">
        <f t="shared" si="36"/>
        <v>1.9810407860726582E-2</v>
      </c>
      <c r="H140" s="18">
        <f t="shared" si="44"/>
        <v>0</v>
      </c>
      <c r="I140" s="18">
        <f t="shared" si="37"/>
        <v>19612.799999999996</v>
      </c>
      <c r="K140" s="18">
        <f t="shared" si="33"/>
        <v>1099.1423476519835</v>
      </c>
      <c r="L140" s="19">
        <v>2.5000000000000001E-2</v>
      </c>
      <c r="M140" s="18">
        <f t="shared" si="38"/>
        <v>0</v>
      </c>
      <c r="N140" s="18">
        <f t="shared" si="42"/>
        <v>45064.836253731322</v>
      </c>
      <c r="P140" s="20">
        <f t="shared" si="43"/>
        <v>6742.05</v>
      </c>
      <c r="Q140" s="59"/>
      <c r="R140" s="22"/>
      <c r="S140" s="18">
        <f t="shared" si="34"/>
        <v>0</v>
      </c>
      <c r="T140" s="18">
        <f t="shared" si="39"/>
        <v>6742.05</v>
      </c>
      <c r="U140" s="41">
        <f>IF(SUM($U$4:U139)=1,0,IF(SUM($Q$4:Q140)&gt;39891.29,1,0))</f>
        <v>0</v>
      </c>
      <c r="V140" s="23"/>
      <c r="W140" s="23"/>
      <c r="X140" s="23"/>
      <c r="Y140" s="23"/>
      <c r="AA140" s="51"/>
      <c r="AB140" s="51"/>
      <c r="AC140" s="52"/>
      <c r="AD140" s="52"/>
      <c r="AE140" s="51"/>
      <c r="AF140" s="53"/>
      <c r="AG140" s="54"/>
      <c r="AH140" s="52"/>
      <c r="AI140" s="28"/>
      <c r="AJ140" s="55"/>
      <c r="AL140" s="114"/>
      <c r="AV140" s="32"/>
    </row>
    <row r="141" spans="2:48" ht="16.5" thickBot="1" x14ac:dyDescent="0.3">
      <c r="B141" s="33">
        <v>138</v>
      </c>
      <c r="C141" s="34">
        <f t="shared" si="40"/>
        <v>46727</v>
      </c>
      <c r="D141" s="35">
        <f t="shared" si="35"/>
        <v>2027</v>
      </c>
      <c r="E141" s="36">
        <f t="shared" si="41"/>
        <v>19612.799999999996</v>
      </c>
      <c r="F141" s="36">
        <v>392.42</v>
      </c>
      <c r="G141" s="37">
        <f t="shared" si="36"/>
        <v>2.0008361886115194E-2</v>
      </c>
      <c r="H141" s="36">
        <f t="shared" si="44"/>
        <v>100</v>
      </c>
      <c r="I141" s="36">
        <f t="shared" si="37"/>
        <v>20105.219999999994</v>
      </c>
      <c r="K141" s="36">
        <f t="shared" si="33"/>
        <v>1126.6209063432832</v>
      </c>
      <c r="L141" s="37">
        <v>2.5000000000000001E-2</v>
      </c>
      <c r="M141" s="36">
        <f t="shared" si="38"/>
        <v>100</v>
      </c>
      <c r="N141" s="36">
        <f t="shared" si="42"/>
        <v>46291.457160074606</v>
      </c>
      <c r="P141" s="38">
        <f t="shared" si="43"/>
        <v>6742.05</v>
      </c>
      <c r="Q141" s="56"/>
      <c r="R141" s="40"/>
      <c r="S141" s="36">
        <f t="shared" si="34"/>
        <v>100</v>
      </c>
      <c r="T141" s="36">
        <f t="shared" si="39"/>
        <v>6842.05</v>
      </c>
      <c r="U141" s="41">
        <f>IF(SUM($U$4:U140)=1,0,IF(SUM($Q$4:Q141)&gt;39891.29,1,0))</f>
        <v>0</v>
      </c>
      <c r="V141" s="36"/>
      <c r="W141" s="36"/>
      <c r="X141" s="36"/>
      <c r="Y141" s="36"/>
      <c r="AA141" s="42"/>
      <c r="AB141" s="42"/>
      <c r="AC141" s="43"/>
      <c r="AD141" s="43"/>
      <c r="AE141" s="42"/>
      <c r="AF141" s="44"/>
      <c r="AG141" s="45"/>
      <c r="AH141" s="43"/>
      <c r="AI141" s="46"/>
      <c r="AJ141" s="47"/>
      <c r="AL141" s="114"/>
      <c r="AV141" s="32"/>
    </row>
    <row r="142" spans="2:48" ht="16.5" thickBot="1" x14ac:dyDescent="0.3">
      <c r="B142" s="15">
        <v>139</v>
      </c>
      <c r="C142" s="16">
        <f t="shared" si="40"/>
        <v>46734</v>
      </c>
      <c r="D142" s="17">
        <f t="shared" si="35"/>
        <v>2027</v>
      </c>
      <c r="E142" s="18">
        <f t="shared" si="41"/>
        <v>20105.219999999994</v>
      </c>
      <c r="F142" s="18">
        <v>404.2</v>
      </c>
      <c r="G142" s="19">
        <f t="shared" si="36"/>
        <v>2.0104231637355877E-2</v>
      </c>
      <c r="H142" s="18">
        <f t="shared" si="44"/>
        <v>0</v>
      </c>
      <c r="I142" s="18">
        <f t="shared" si="37"/>
        <v>20509.419999999995</v>
      </c>
      <c r="K142" s="18">
        <f t="shared" si="33"/>
        <v>1157.2864290018651</v>
      </c>
      <c r="L142" s="19">
        <v>2.5000000000000001E-2</v>
      </c>
      <c r="M142" s="18">
        <f t="shared" si="38"/>
        <v>0</v>
      </c>
      <c r="N142" s="18">
        <f t="shared" si="42"/>
        <v>47448.743589076468</v>
      </c>
      <c r="P142" s="20">
        <f t="shared" si="43"/>
        <v>6842.05</v>
      </c>
      <c r="Q142" s="59"/>
      <c r="R142" s="22"/>
      <c r="S142" s="18">
        <f t="shared" si="34"/>
        <v>0</v>
      </c>
      <c r="T142" s="18">
        <f t="shared" si="39"/>
        <v>6842.05</v>
      </c>
      <c r="U142" s="41">
        <f>IF(SUM($U$4:U141)=1,0,IF(SUM($Q$4:Q142)&gt;39891.29,1,0))</f>
        <v>0</v>
      </c>
      <c r="V142" s="23"/>
      <c r="W142" s="23"/>
      <c r="X142" s="23"/>
      <c r="Y142" s="23"/>
      <c r="AA142" s="51"/>
      <c r="AB142" s="51"/>
      <c r="AC142" s="52"/>
      <c r="AD142" s="52"/>
      <c r="AE142" s="51"/>
      <c r="AF142" s="53"/>
      <c r="AG142" s="54"/>
      <c r="AH142" s="52"/>
      <c r="AI142" s="28"/>
      <c r="AJ142" s="55"/>
      <c r="AL142" s="114"/>
      <c r="AV142" s="32"/>
    </row>
    <row r="143" spans="2:48" ht="16.5" thickBot="1" x14ac:dyDescent="0.3">
      <c r="B143" s="33">
        <v>140</v>
      </c>
      <c r="C143" s="34">
        <f t="shared" si="40"/>
        <v>46741</v>
      </c>
      <c r="D143" s="35">
        <f t="shared" si="35"/>
        <v>2027</v>
      </c>
      <c r="E143" s="36">
        <f t="shared" si="41"/>
        <v>20509.419999999995</v>
      </c>
      <c r="F143" s="36">
        <v>416.32</v>
      </c>
      <c r="G143" s="37">
        <f t="shared" si="36"/>
        <v>2.029896506093298E-2</v>
      </c>
      <c r="H143" s="36">
        <f t="shared" si="44"/>
        <v>100</v>
      </c>
      <c r="I143" s="36">
        <f t="shared" si="37"/>
        <v>21025.739999999994</v>
      </c>
      <c r="K143" s="36">
        <f t="shared" si="33"/>
        <v>1186.2185897269117</v>
      </c>
      <c r="L143" s="37">
        <v>2.5000000000000001E-2</v>
      </c>
      <c r="M143" s="36">
        <f t="shared" si="38"/>
        <v>100</v>
      </c>
      <c r="N143" s="36">
        <f t="shared" si="42"/>
        <v>48734.962178803376</v>
      </c>
      <c r="P143" s="38">
        <f t="shared" si="43"/>
        <v>6842.05</v>
      </c>
      <c r="Q143" s="56"/>
      <c r="R143" s="40"/>
      <c r="S143" s="36">
        <f t="shared" si="34"/>
        <v>100</v>
      </c>
      <c r="T143" s="36">
        <f t="shared" si="39"/>
        <v>6942.05</v>
      </c>
      <c r="U143" s="41">
        <f>IF(SUM($U$4:U142)=1,0,IF(SUM($Q$4:Q143)&gt;39891.29,1,0))</f>
        <v>0</v>
      </c>
      <c r="V143" s="36"/>
      <c r="W143" s="36"/>
      <c r="X143" s="36"/>
      <c r="Y143" s="36"/>
      <c r="AA143" s="42"/>
      <c r="AB143" s="42"/>
      <c r="AC143" s="43"/>
      <c r="AD143" s="43"/>
      <c r="AE143" s="42"/>
      <c r="AF143" s="44"/>
      <c r="AG143" s="45"/>
      <c r="AH143" s="43"/>
      <c r="AI143" s="46"/>
      <c r="AJ143" s="47"/>
      <c r="AL143" s="114"/>
      <c r="AV143" s="32"/>
    </row>
    <row r="144" spans="2:48" ht="16.5" thickBot="1" x14ac:dyDescent="0.3">
      <c r="B144" s="72">
        <v>141</v>
      </c>
      <c r="C144" s="73">
        <f t="shared" si="40"/>
        <v>46748</v>
      </c>
      <c r="D144" s="74">
        <f t="shared" si="35"/>
        <v>2027</v>
      </c>
      <c r="E144" s="75">
        <f t="shared" si="41"/>
        <v>21025.739999999994</v>
      </c>
      <c r="F144" s="75">
        <v>428.81</v>
      </c>
      <c r="G144" s="76">
        <f t="shared" si="36"/>
        <v>2.0394525947719323E-2</v>
      </c>
      <c r="H144" s="75">
        <f t="shared" si="44"/>
        <v>0</v>
      </c>
      <c r="I144" s="75">
        <f t="shared" si="37"/>
        <v>21454.549999999996</v>
      </c>
      <c r="K144" s="75">
        <f t="shared" si="33"/>
        <v>1218.3740544700845</v>
      </c>
      <c r="L144" s="76">
        <v>2.5000000000000001E-2</v>
      </c>
      <c r="M144" s="75">
        <f t="shared" si="38"/>
        <v>0</v>
      </c>
      <c r="N144" s="75">
        <f t="shared" si="42"/>
        <v>49953.336233273461</v>
      </c>
      <c r="P144" s="77">
        <f t="shared" si="43"/>
        <v>6942.05</v>
      </c>
      <c r="Q144" s="78"/>
      <c r="R144" s="79"/>
      <c r="S144" s="75">
        <f t="shared" si="34"/>
        <v>0</v>
      </c>
      <c r="T144" s="75">
        <f t="shared" si="39"/>
        <v>6942.05</v>
      </c>
      <c r="U144" s="41">
        <f>IF(SUM($U$4:U143)=1,0,IF(SUM($Q$4:Q144)&gt;39891.29,1,0))</f>
        <v>0</v>
      </c>
      <c r="V144" s="80"/>
      <c r="W144" s="80"/>
      <c r="X144" s="80"/>
      <c r="Y144" s="80"/>
      <c r="AA144" s="107"/>
      <c r="AB144" s="107"/>
      <c r="AC144" s="108"/>
      <c r="AD144" s="108"/>
      <c r="AE144" s="107"/>
      <c r="AF144" s="109"/>
      <c r="AG144" s="110"/>
      <c r="AH144" s="108"/>
      <c r="AI144" s="111"/>
      <c r="AJ144" s="112"/>
      <c r="AL144" s="114"/>
      <c r="AV144" s="32"/>
    </row>
    <row r="145" spans="2:48" ht="16.5" thickBot="1" x14ac:dyDescent="0.3">
      <c r="B145" s="88">
        <v>142</v>
      </c>
      <c r="C145" s="89">
        <f t="shared" si="40"/>
        <v>46755</v>
      </c>
      <c r="D145" s="90">
        <f t="shared" si="35"/>
        <v>2028</v>
      </c>
      <c r="E145" s="91">
        <f t="shared" si="41"/>
        <v>21454.549999999996</v>
      </c>
      <c r="F145" s="91">
        <v>441.68</v>
      </c>
      <c r="G145" s="92">
        <f t="shared" si="36"/>
        <v>2.0586775299412018E-2</v>
      </c>
      <c r="H145" s="91">
        <f t="shared" si="44"/>
        <v>100</v>
      </c>
      <c r="I145" s="91">
        <f t="shared" si="37"/>
        <v>21996.229999999996</v>
      </c>
      <c r="K145" s="91">
        <f t="shared" si="33"/>
        <v>1248.8334058318367</v>
      </c>
      <c r="L145" s="92">
        <v>2.5000000000000001E-2</v>
      </c>
      <c r="M145" s="91">
        <f t="shared" si="38"/>
        <v>100</v>
      </c>
      <c r="N145" s="91">
        <f t="shared" si="42"/>
        <v>51302.169639105297</v>
      </c>
      <c r="P145" s="93">
        <f t="shared" si="43"/>
        <v>6942.05</v>
      </c>
      <c r="Q145" s="94"/>
      <c r="R145" s="95"/>
      <c r="S145" s="91">
        <f>S143</f>
        <v>100</v>
      </c>
      <c r="T145" s="91">
        <f t="shared" si="39"/>
        <v>7042.05</v>
      </c>
      <c r="U145" s="41">
        <f>IF(SUM($U$4:U144)=1,0,IF(SUM($Q$4:Q145)&gt;39891.29,1,0))</f>
        <v>0</v>
      </c>
      <c r="V145" s="91"/>
      <c r="W145" s="91"/>
      <c r="X145" s="91"/>
      <c r="Y145" s="91"/>
      <c r="AA145" s="96"/>
      <c r="AB145" s="96"/>
      <c r="AC145" s="97"/>
      <c r="AD145" s="97"/>
      <c r="AE145" s="96"/>
      <c r="AF145" s="98"/>
      <c r="AG145" s="99"/>
      <c r="AH145" s="97"/>
      <c r="AI145" s="100"/>
      <c r="AJ145" s="113"/>
      <c r="AV145" s="32"/>
    </row>
    <row r="146" spans="2:48" ht="16.5" thickBot="1" x14ac:dyDescent="0.3">
      <c r="B146" s="15">
        <v>143</v>
      </c>
      <c r="C146" s="16">
        <f t="shared" si="40"/>
        <v>46762</v>
      </c>
      <c r="D146" s="17">
        <f t="shared" si="35"/>
        <v>2028</v>
      </c>
      <c r="E146" s="18">
        <f t="shared" si="41"/>
        <v>21996.229999999996</v>
      </c>
      <c r="F146" s="18">
        <v>454.93</v>
      </c>
      <c r="G146" s="19">
        <f t="shared" si="36"/>
        <v>2.068218053730117E-2</v>
      </c>
      <c r="H146" s="18">
        <f t="shared" si="44"/>
        <v>0</v>
      </c>
      <c r="I146" s="18">
        <f t="shared" si="37"/>
        <v>22451.159999999996</v>
      </c>
      <c r="K146" s="18">
        <f t="shared" si="33"/>
        <v>1282.5542409776326</v>
      </c>
      <c r="L146" s="19">
        <v>2.5000000000000001E-2</v>
      </c>
      <c r="M146" s="18">
        <f t="shared" si="38"/>
        <v>0</v>
      </c>
      <c r="N146" s="18">
        <f t="shared" si="42"/>
        <v>52584.723880082929</v>
      </c>
      <c r="P146" s="20">
        <f t="shared" si="43"/>
        <v>7042.05</v>
      </c>
      <c r="Q146" s="59"/>
      <c r="R146" s="22"/>
      <c r="S146" s="18">
        <f t="shared" si="34"/>
        <v>0</v>
      </c>
      <c r="T146" s="18">
        <f t="shared" si="39"/>
        <v>7042.05</v>
      </c>
      <c r="U146" s="41">
        <f>IF(SUM($U$4:U145)=1,0,IF(SUM($Q$4:Q146)&gt;39891.29,1,0))</f>
        <v>0</v>
      </c>
      <c r="V146" s="23"/>
      <c r="W146" s="23"/>
      <c r="X146" s="23"/>
      <c r="Y146" s="23"/>
      <c r="AA146" s="51"/>
      <c r="AB146" s="51"/>
      <c r="AC146" s="52"/>
      <c r="AD146" s="52"/>
      <c r="AE146" s="51"/>
      <c r="AF146" s="53"/>
      <c r="AG146" s="54"/>
      <c r="AH146" s="52"/>
      <c r="AI146" s="28"/>
      <c r="AJ146" s="55"/>
      <c r="AV146" s="32"/>
    </row>
    <row r="147" spans="2:48" ht="16.5" thickBot="1" x14ac:dyDescent="0.3">
      <c r="B147" s="33">
        <v>144</v>
      </c>
      <c r="C147" s="34">
        <f t="shared" si="40"/>
        <v>46769</v>
      </c>
      <c r="D147" s="35">
        <f t="shared" si="35"/>
        <v>2028</v>
      </c>
      <c r="E147" s="36">
        <f t="shared" si="41"/>
        <v>22451.159999999996</v>
      </c>
      <c r="F147" s="36">
        <v>468.58</v>
      </c>
      <c r="G147" s="37">
        <f t="shared" si="36"/>
        <v>2.087108193964143E-2</v>
      </c>
      <c r="H147" s="36">
        <f t="shared" si="44"/>
        <v>100</v>
      </c>
      <c r="I147" s="36">
        <f t="shared" si="37"/>
        <v>23019.739999999998</v>
      </c>
      <c r="K147" s="36">
        <f t="shared" si="33"/>
        <v>1314.6180970020732</v>
      </c>
      <c r="L147" s="37">
        <v>2.5000000000000001E-2</v>
      </c>
      <c r="M147" s="36">
        <f t="shared" si="38"/>
        <v>100</v>
      </c>
      <c r="N147" s="36">
        <f t="shared" si="42"/>
        <v>53999.341977085001</v>
      </c>
      <c r="P147" s="38">
        <f t="shared" si="43"/>
        <v>7042.05</v>
      </c>
      <c r="Q147" s="56"/>
      <c r="R147" s="40"/>
      <c r="S147" s="36">
        <f t="shared" si="34"/>
        <v>100</v>
      </c>
      <c r="T147" s="36">
        <f t="shared" si="39"/>
        <v>7142.05</v>
      </c>
      <c r="U147" s="41">
        <f>IF(SUM($U$4:U146)=1,0,IF(SUM($Q$4:Q147)&gt;39891.29,1,0))</f>
        <v>0</v>
      </c>
      <c r="V147" s="36"/>
      <c r="W147" s="36"/>
      <c r="X147" s="36"/>
      <c r="Y147" s="36"/>
      <c r="AA147" s="42"/>
      <c r="AB147" s="42"/>
      <c r="AC147" s="43"/>
      <c r="AD147" s="43"/>
      <c r="AE147" s="42"/>
      <c r="AF147" s="44"/>
      <c r="AG147" s="45"/>
      <c r="AH147" s="43"/>
      <c r="AI147" s="46"/>
      <c r="AJ147" s="47"/>
      <c r="AV147" s="32"/>
    </row>
    <row r="148" spans="2:48" ht="16.5" thickBot="1" x14ac:dyDescent="0.3">
      <c r="B148" s="15">
        <v>145</v>
      </c>
      <c r="C148" s="16">
        <f t="shared" si="40"/>
        <v>46776</v>
      </c>
      <c r="D148" s="17">
        <f t="shared" si="35"/>
        <v>2028</v>
      </c>
      <c r="E148" s="18">
        <f t="shared" si="41"/>
        <v>23019.739999999998</v>
      </c>
      <c r="F148" s="18">
        <v>482.63</v>
      </c>
      <c r="G148" s="19">
        <f t="shared" si="36"/>
        <v>2.096591881576421E-2</v>
      </c>
      <c r="H148" s="18">
        <f t="shared" si="44"/>
        <v>0</v>
      </c>
      <c r="I148" s="18">
        <f t="shared" si="37"/>
        <v>23502.37</v>
      </c>
      <c r="K148" s="18">
        <f t="shared" si="33"/>
        <v>1349.9835494271251</v>
      </c>
      <c r="L148" s="19">
        <v>2.5000000000000001E-2</v>
      </c>
      <c r="M148" s="18">
        <f t="shared" si="38"/>
        <v>0</v>
      </c>
      <c r="N148" s="18">
        <f t="shared" si="42"/>
        <v>55349.325526512126</v>
      </c>
      <c r="P148" s="20">
        <f t="shared" si="43"/>
        <v>7142.05</v>
      </c>
      <c r="Q148" s="59"/>
      <c r="R148" s="22"/>
      <c r="S148" s="18">
        <f t="shared" si="34"/>
        <v>0</v>
      </c>
      <c r="T148" s="18">
        <f t="shared" si="39"/>
        <v>7142.05</v>
      </c>
      <c r="U148" s="41">
        <f>IF(SUM($U$4:U147)=1,0,IF(SUM($Q$4:Q148)&gt;39891.29,1,0))</f>
        <v>0</v>
      </c>
      <c r="V148" s="23"/>
      <c r="W148" s="23"/>
      <c r="X148" s="23"/>
      <c r="Y148" s="23"/>
      <c r="AA148" s="51"/>
      <c r="AB148" s="51"/>
      <c r="AC148" s="52"/>
      <c r="AD148" s="52"/>
      <c r="AE148" s="51"/>
      <c r="AF148" s="53"/>
      <c r="AG148" s="54"/>
      <c r="AH148" s="52"/>
      <c r="AI148" s="28"/>
      <c r="AJ148" s="55"/>
      <c r="AV148" s="32"/>
    </row>
    <row r="149" spans="2:48" ht="16.5" thickBot="1" x14ac:dyDescent="0.3">
      <c r="B149" s="33">
        <v>146</v>
      </c>
      <c r="C149" s="34">
        <f t="shared" si="40"/>
        <v>46783</v>
      </c>
      <c r="D149" s="35">
        <f t="shared" si="35"/>
        <v>2028</v>
      </c>
      <c r="E149" s="36">
        <f t="shared" si="41"/>
        <v>23502.37</v>
      </c>
      <c r="F149" s="36">
        <v>497.11</v>
      </c>
      <c r="G149" s="37">
        <f t="shared" si="36"/>
        <v>2.1151483871626565E-2</v>
      </c>
      <c r="H149" s="36">
        <f t="shared" si="44"/>
        <v>100</v>
      </c>
      <c r="I149" s="36">
        <f t="shared" si="37"/>
        <v>24099.48</v>
      </c>
      <c r="K149" s="36">
        <f t="shared" si="33"/>
        <v>1383.7331381628032</v>
      </c>
      <c r="L149" s="37">
        <v>2.5000000000000001E-2</v>
      </c>
      <c r="M149" s="36">
        <f t="shared" si="38"/>
        <v>100</v>
      </c>
      <c r="N149" s="36">
        <f t="shared" si="42"/>
        <v>56833.058664674929</v>
      </c>
      <c r="P149" s="38">
        <f t="shared" si="43"/>
        <v>7142.05</v>
      </c>
      <c r="Q149" s="56"/>
      <c r="R149" s="40"/>
      <c r="S149" s="36">
        <f t="shared" si="34"/>
        <v>100</v>
      </c>
      <c r="T149" s="36">
        <f t="shared" si="39"/>
        <v>7242.05</v>
      </c>
      <c r="U149" s="41">
        <f>IF(SUM($U$4:U148)=1,0,IF(SUM($Q$4:Q149)&gt;39891.29,1,0))</f>
        <v>0</v>
      </c>
      <c r="V149" s="36"/>
      <c r="W149" s="36"/>
      <c r="X149" s="36"/>
      <c r="Y149" s="36"/>
      <c r="AA149" s="42"/>
      <c r="AB149" s="42"/>
      <c r="AC149" s="43"/>
      <c r="AD149" s="43"/>
      <c r="AE149" s="42"/>
      <c r="AF149" s="44"/>
      <c r="AG149" s="45"/>
      <c r="AH149" s="43"/>
      <c r="AI149" s="46"/>
      <c r="AJ149" s="47"/>
      <c r="AV149" s="32"/>
    </row>
    <row r="150" spans="2:48" ht="16.5" thickBot="1" x14ac:dyDescent="0.3">
      <c r="B150" s="15">
        <v>147</v>
      </c>
      <c r="C150" s="16">
        <f t="shared" si="40"/>
        <v>46790</v>
      </c>
      <c r="D150" s="17">
        <f t="shared" si="35"/>
        <v>2028</v>
      </c>
      <c r="E150" s="18">
        <f t="shared" si="41"/>
        <v>24099.48</v>
      </c>
      <c r="F150" s="18">
        <v>512.02</v>
      </c>
      <c r="G150" s="19">
        <f t="shared" si="36"/>
        <v>2.1246101575635657E-2</v>
      </c>
      <c r="H150" s="18">
        <f t="shared" si="44"/>
        <v>0</v>
      </c>
      <c r="I150" s="18">
        <f t="shared" si="37"/>
        <v>24611.5</v>
      </c>
      <c r="K150" s="18">
        <f t="shared" si="33"/>
        <v>1420.8264666168734</v>
      </c>
      <c r="L150" s="19">
        <v>2.5000000000000001E-2</v>
      </c>
      <c r="M150" s="18">
        <f t="shared" si="38"/>
        <v>0</v>
      </c>
      <c r="N150" s="18">
        <f t="shared" si="42"/>
        <v>58253.885131291805</v>
      </c>
      <c r="P150" s="20">
        <f t="shared" si="43"/>
        <v>7242.05</v>
      </c>
      <c r="Q150" s="59"/>
      <c r="R150" s="22"/>
      <c r="S150" s="18">
        <f t="shared" si="34"/>
        <v>0</v>
      </c>
      <c r="T150" s="18">
        <f t="shared" si="39"/>
        <v>7242.05</v>
      </c>
      <c r="U150" s="41">
        <f>IF(SUM($U$4:U149)=1,0,IF(SUM($Q$4:Q150)&gt;39891.29,1,0))</f>
        <v>0</v>
      </c>
      <c r="V150" s="23"/>
      <c r="W150" s="23"/>
      <c r="X150" s="23"/>
      <c r="Y150" s="23"/>
      <c r="AA150" s="51"/>
      <c r="AB150" s="51"/>
      <c r="AC150" s="52"/>
      <c r="AD150" s="52"/>
      <c r="AE150" s="51"/>
      <c r="AF150" s="53"/>
      <c r="AG150" s="54"/>
      <c r="AH150" s="52"/>
      <c r="AI150" s="28"/>
      <c r="AJ150" s="55"/>
      <c r="AV150" s="32"/>
    </row>
    <row r="151" spans="2:48" ht="16.5" thickBot="1" x14ac:dyDescent="0.3">
      <c r="B151" s="33">
        <v>148</v>
      </c>
      <c r="C151" s="34">
        <f t="shared" si="40"/>
        <v>46797</v>
      </c>
      <c r="D151" s="35">
        <f t="shared" si="35"/>
        <v>2028</v>
      </c>
      <c r="E151" s="36">
        <f t="shared" si="41"/>
        <v>24611.5</v>
      </c>
      <c r="F151" s="36">
        <v>527.39</v>
      </c>
      <c r="G151" s="37">
        <f t="shared" si="36"/>
        <v>2.1428600451008674E-2</v>
      </c>
      <c r="H151" s="36">
        <f t="shared" si="44"/>
        <v>100</v>
      </c>
      <c r="I151" s="36">
        <f t="shared" si="37"/>
        <v>25238.89</v>
      </c>
      <c r="K151" s="36">
        <f t="shared" si="33"/>
        <v>1456.3471282822952</v>
      </c>
      <c r="L151" s="37">
        <v>2.5000000000000001E-2</v>
      </c>
      <c r="M151" s="36">
        <f t="shared" si="38"/>
        <v>100</v>
      </c>
      <c r="N151" s="36">
        <f t="shared" si="42"/>
        <v>59810.232259574099</v>
      </c>
      <c r="P151" s="38">
        <f t="shared" si="43"/>
        <v>7242.05</v>
      </c>
      <c r="Q151" s="56"/>
      <c r="R151" s="40"/>
      <c r="S151" s="36">
        <f t="shared" si="34"/>
        <v>100</v>
      </c>
      <c r="T151" s="36">
        <f t="shared" si="39"/>
        <v>7342.05</v>
      </c>
      <c r="U151" s="41">
        <f>IF(SUM($U$4:U150)=1,0,IF(SUM($Q$4:Q151)&gt;39891.29,1,0))</f>
        <v>0</v>
      </c>
      <c r="V151" s="36"/>
      <c r="W151" s="36"/>
      <c r="X151" s="36"/>
      <c r="Y151" s="36"/>
      <c r="AA151" s="42"/>
      <c r="AB151" s="42"/>
      <c r="AC151" s="43"/>
      <c r="AD151" s="43"/>
      <c r="AE151" s="42"/>
      <c r="AF151" s="44"/>
      <c r="AG151" s="45"/>
      <c r="AH151" s="43"/>
      <c r="AI151" s="46"/>
      <c r="AJ151" s="47"/>
      <c r="AV151" s="32"/>
    </row>
    <row r="152" spans="2:48" ht="16.5" thickBot="1" x14ac:dyDescent="0.3">
      <c r="B152" s="15">
        <v>149</v>
      </c>
      <c r="C152" s="16">
        <f t="shared" si="40"/>
        <v>46804</v>
      </c>
      <c r="D152" s="17">
        <f t="shared" si="35"/>
        <v>2028</v>
      </c>
      <c r="E152" s="18">
        <f t="shared" si="41"/>
        <v>25238.89</v>
      </c>
      <c r="F152" s="18">
        <v>543.21</v>
      </c>
      <c r="G152" s="19">
        <f t="shared" si="36"/>
        <v>2.1522737331158386E-2</v>
      </c>
      <c r="H152" s="18">
        <f t="shared" si="44"/>
        <v>0</v>
      </c>
      <c r="I152" s="18">
        <f t="shared" si="37"/>
        <v>25782.1</v>
      </c>
      <c r="K152" s="18">
        <f t="shared" si="33"/>
        <v>1495.2558064893526</v>
      </c>
      <c r="L152" s="19">
        <v>2.5000000000000001E-2</v>
      </c>
      <c r="M152" s="18">
        <f t="shared" si="38"/>
        <v>0</v>
      </c>
      <c r="N152" s="18">
        <f t="shared" si="42"/>
        <v>61305.488066063452</v>
      </c>
      <c r="P152" s="20">
        <f t="shared" si="43"/>
        <v>7342.05</v>
      </c>
      <c r="Q152" s="59"/>
      <c r="R152" s="22"/>
      <c r="S152" s="18">
        <f t="shared" si="34"/>
        <v>0</v>
      </c>
      <c r="T152" s="18">
        <f t="shared" si="39"/>
        <v>7342.05</v>
      </c>
      <c r="U152" s="41">
        <f>IF(SUM($U$4:U151)=1,0,IF(SUM($Q$4:Q152)&gt;39891.29,1,0))</f>
        <v>0</v>
      </c>
      <c r="V152" s="23"/>
      <c r="W152" s="23"/>
      <c r="X152" s="23"/>
      <c r="Y152" s="23"/>
      <c r="AA152" s="51"/>
      <c r="AB152" s="51"/>
      <c r="AC152" s="52"/>
      <c r="AD152" s="52"/>
      <c r="AE152" s="51"/>
      <c r="AF152" s="53"/>
      <c r="AG152" s="54"/>
      <c r="AH152" s="52"/>
      <c r="AI152" s="28"/>
      <c r="AJ152" s="55"/>
      <c r="AV152" s="32"/>
    </row>
    <row r="153" spans="2:48" ht="16.5" thickBot="1" x14ac:dyDescent="0.3">
      <c r="B153" s="33">
        <v>150</v>
      </c>
      <c r="C153" s="34">
        <f t="shared" si="40"/>
        <v>46811</v>
      </c>
      <c r="D153" s="35">
        <f t="shared" si="35"/>
        <v>2028</v>
      </c>
      <c r="E153" s="36">
        <f t="shared" si="41"/>
        <v>25782.1</v>
      </c>
      <c r="F153" s="36">
        <v>559.5</v>
      </c>
      <c r="G153" s="37">
        <f t="shared" si="36"/>
        <v>2.1701102703038155E-2</v>
      </c>
      <c r="H153" s="36">
        <f t="shared" si="44"/>
        <v>100</v>
      </c>
      <c r="I153" s="36">
        <f t="shared" si="37"/>
        <v>26441.599999999999</v>
      </c>
      <c r="K153" s="36">
        <f t="shared" si="33"/>
        <v>1532.6372016515863</v>
      </c>
      <c r="L153" s="37">
        <v>2.5000000000000001E-2</v>
      </c>
      <c r="M153" s="36">
        <f t="shared" si="38"/>
        <v>100</v>
      </c>
      <c r="N153" s="36">
        <f t="shared" si="42"/>
        <v>62938.125267715041</v>
      </c>
      <c r="P153" s="38">
        <f t="shared" si="43"/>
        <v>7342.05</v>
      </c>
      <c r="Q153" s="56"/>
      <c r="R153" s="40"/>
      <c r="S153" s="36">
        <f t="shared" si="34"/>
        <v>100</v>
      </c>
      <c r="T153" s="36">
        <f t="shared" si="39"/>
        <v>7442.05</v>
      </c>
      <c r="U153" s="41">
        <f>IF(SUM($U$4:U152)=1,0,IF(SUM($Q$4:Q153)&gt;39891.29,1,0))</f>
        <v>0</v>
      </c>
      <c r="V153" s="36"/>
      <c r="W153" s="36"/>
      <c r="X153" s="36"/>
      <c r="Y153" s="36"/>
      <c r="AA153" s="42"/>
      <c r="AB153" s="42"/>
      <c r="AC153" s="43"/>
      <c r="AD153" s="43"/>
      <c r="AE153" s="42"/>
      <c r="AF153" s="44"/>
      <c r="AG153" s="45"/>
      <c r="AH153" s="43"/>
      <c r="AI153" s="46"/>
      <c r="AJ153" s="47"/>
      <c r="AV153" s="32"/>
    </row>
    <row r="154" spans="2:48" ht="16.5" thickBot="1" x14ac:dyDescent="0.3">
      <c r="B154" s="15">
        <v>151</v>
      </c>
      <c r="C154" s="16">
        <f t="shared" si="40"/>
        <v>46818</v>
      </c>
      <c r="D154" s="17">
        <f t="shared" si="35"/>
        <v>2028</v>
      </c>
      <c r="E154" s="18">
        <f t="shared" si="41"/>
        <v>26441.599999999999</v>
      </c>
      <c r="F154" s="18">
        <v>576.29</v>
      </c>
      <c r="G154" s="19">
        <f t="shared" si="36"/>
        <v>2.1794823308725644E-2</v>
      </c>
      <c r="H154" s="18">
        <f t="shared" si="44"/>
        <v>0</v>
      </c>
      <c r="I154" s="18">
        <f t="shared" si="37"/>
        <v>27017.89</v>
      </c>
      <c r="K154" s="18">
        <f t="shared" si="33"/>
        <v>1573.453131692876</v>
      </c>
      <c r="L154" s="19">
        <v>2.5000000000000001E-2</v>
      </c>
      <c r="M154" s="18">
        <f t="shared" si="38"/>
        <v>0</v>
      </c>
      <c r="N154" s="18">
        <f t="shared" si="42"/>
        <v>64511.578399407917</v>
      </c>
      <c r="P154" s="20">
        <f t="shared" si="43"/>
        <v>7442.05</v>
      </c>
      <c r="Q154" s="59"/>
      <c r="R154" s="22"/>
      <c r="S154" s="18">
        <f t="shared" si="34"/>
        <v>0</v>
      </c>
      <c r="T154" s="18">
        <f t="shared" si="39"/>
        <v>7442.05</v>
      </c>
      <c r="U154" s="41">
        <f>IF(SUM($U$4:U153)=1,0,IF(SUM($Q$4:Q154)&gt;39891.29,1,0))</f>
        <v>0</v>
      </c>
      <c r="V154" s="23"/>
      <c r="W154" s="23"/>
      <c r="X154" s="23"/>
      <c r="Y154" s="23"/>
      <c r="AA154" s="51"/>
      <c r="AB154" s="51"/>
      <c r="AC154" s="52"/>
      <c r="AD154" s="52"/>
      <c r="AE154" s="51"/>
      <c r="AF154" s="53"/>
      <c r="AG154" s="54"/>
      <c r="AH154" s="52"/>
      <c r="AI154" s="28"/>
      <c r="AJ154" s="55"/>
      <c r="AV154" s="32"/>
    </row>
    <row r="155" spans="2:48" ht="16.5" thickBot="1" x14ac:dyDescent="0.3">
      <c r="B155" s="33">
        <v>152</v>
      </c>
      <c r="C155" s="34">
        <f t="shared" si="40"/>
        <v>46825</v>
      </c>
      <c r="D155" s="35">
        <f t="shared" si="35"/>
        <v>2028</v>
      </c>
      <c r="E155" s="36">
        <f t="shared" si="41"/>
        <v>27017.89</v>
      </c>
      <c r="F155" s="36">
        <v>593.58000000000004</v>
      </c>
      <c r="G155" s="37">
        <f t="shared" si="36"/>
        <v>2.1969887359819737E-2</v>
      </c>
      <c r="H155" s="36">
        <f t="shared" si="44"/>
        <v>100</v>
      </c>
      <c r="I155" s="36">
        <f t="shared" si="37"/>
        <v>27711.47</v>
      </c>
      <c r="K155" s="36">
        <f t="shared" si="33"/>
        <v>1612.7894599851979</v>
      </c>
      <c r="L155" s="37">
        <v>2.5000000000000001E-2</v>
      </c>
      <c r="M155" s="36">
        <f t="shared" si="38"/>
        <v>100</v>
      </c>
      <c r="N155" s="36">
        <f t="shared" si="42"/>
        <v>66224.367859393111</v>
      </c>
      <c r="P155" s="38">
        <f t="shared" si="43"/>
        <v>7442.05</v>
      </c>
      <c r="Q155" s="56"/>
      <c r="R155" s="40"/>
      <c r="S155" s="36">
        <f t="shared" si="34"/>
        <v>100</v>
      </c>
      <c r="T155" s="36">
        <f t="shared" si="39"/>
        <v>7542.05</v>
      </c>
      <c r="U155" s="41">
        <f>IF(SUM($U$4:U154)=1,0,IF(SUM($Q$4:Q155)&gt;39891.29,1,0))</f>
        <v>0</v>
      </c>
      <c r="V155" s="36"/>
      <c r="W155" s="36"/>
      <c r="X155" s="36"/>
      <c r="Y155" s="36"/>
      <c r="AA155" s="42"/>
      <c r="AB155" s="42"/>
      <c r="AC155" s="43"/>
      <c r="AD155" s="43"/>
      <c r="AE155" s="42"/>
      <c r="AF155" s="44"/>
      <c r="AG155" s="45"/>
      <c r="AH155" s="43"/>
      <c r="AI155" s="46"/>
      <c r="AJ155" s="47"/>
      <c r="AV155" s="32"/>
    </row>
    <row r="156" spans="2:48" ht="16.5" thickBot="1" x14ac:dyDescent="0.3">
      <c r="B156" s="15">
        <v>153</v>
      </c>
      <c r="C156" s="16">
        <f t="shared" si="40"/>
        <v>46832</v>
      </c>
      <c r="D156" s="17">
        <f t="shared" si="35"/>
        <v>2028</v>
      </c>
      <c r="E156" s="18">
        <f t="shared" si="41"/>
        <v>27711.47</v>
      </c>
      <c r="F156" s="18">
        <v>611.38</v>
      </c>
      <c r="G156" s="19">
        <f t="shared" si="36"/>
        <v>2.2062344581503614E-2</v>
      </c>
      <c r="H156" s="18">
        <f t="shared" si="44"/>
        <v>0</v>
      </c>
      <c r="I156" s="18">
        <f t="shared" si="37"/>
        <v>28322.850000000002</v>
      </c>
      <c r="K156" s="18">
        <f t="shared" si="33"/>
        <v>1655.6091964848279</v>
      </c>
      <c r="L156" s="19">
        <v>2.5000000000000001E-2</v>
      </c>
      <c r="M156" s="18">
        <f t="shared" si="38"/>
        <v>0</v>
      </c>
      <c r="N156" s="18">
        <f t="shared" si="42"/>
        <v>67879.977055877942</v>
      </c>
      <c r="P156" s="20">
        <f t="shared" si="43"/>
        <v>7542.05</v>
      </c>
      <c r="Q156" s="59"/>
      <c r="R156" s="22"/>
      <c r="S156" s="18">
        <f t="shared" si="34"/>
        <v>0</v>
      </c>
      <c r="T156" s="18">
        <f t="shared" si="39"/>
        <v>7542.05</v>
      </c>
      <c r="U156" s="41">
        <f>IF(SUM($U$4:U155)=1,0,IF(SUM($Q$4:Q156)&gt;39891.29,1,0))</f>
        <v>0</v>
      </c>
      <c r="V156" s="23"/>
      <c r="W156" s="23"/>
      <c r="X156" s="23"/>
      <c r="Y156" s="23"/>
      <c r="AA156" s="51"/>
      <c r="AB156" s="51"/>
      <c r="AC156" s="52"/>
      <c r="AD156" s="52"/>
      <c r="AE156" s="51"/>
      <c r="AF156" s="53"/>
      <c r="AG156" s="54"/>
      <c r="AH156" s="52"/>
      <c r="AI156" s="28"/>
      <c r="AJ156" s="55"/>
      <c r="AV156" s="32"/>
    </row>
    <row r="157" spans="2:48" ht="16.5" thickBot="1" x14ac:dyDescent="0.3">
      <c r="B157" s="33">
        <v>154</v>
      </c>
      <c r="C157" s="34">
        <f t="shared" si="40"/>
        <v>46839</v>
      </c>
      <c r="D157" s="35">
        <f t="shared" si="35"/>
        <v>2028</v>
      </c>
      <c r="E157" s="36">
        <f t="shared" si="41"/>
        <v>28322.850000000002</v>
      </c>
      <c r="F157" s="36">
        <v>629.73</v>
      </c>
      <c r="G157" s="37">
        <f t="shared" si="36"/>
        <v>2.2233991282656934E-2</v>
      </c>
      <c r="H157" s="36">
        <f t="shared" si="44"/>
        <v>100</v>
      </c>
      <c r="I157" s="36">
        <f t="shared" si="37"/>
        <v>29052.58</v>
      </c>
      <c r="K157" s="36">
        <f t="shared" si="33"/>
        <v>1696.9994263969486</v>
      </c>
      <c r="L157" s="37">
        <v>2.5000000000000001E-2</v>
      </c>
      <c r="M157" s="36">
        <f t="shared" si="38"/>
        <v>100</v>
      </c>
      <c r="N157" s="36">
        <f t="shared" si="42"/>
        <v>69676.976482274884</v>
      </c>
      <c r="P157" s="38">
        <f t="shared" si="43"/>
        <v>7542.05</v>
      </c>
      <c r="Q157" s="56"/>
      <c r="R157" s="40"/>
      <c r="S157" s="36">
        <f t="shared" si="34"/>
        <v>100</v>
      </c>
      <c r="T157" s="36">
        <f t="shared" si="39"/>
        <v>7642.05</v>
      </c>
      <c r="U157" s="41">
        <f>IF(SUM($U$4:U156)=1,0,IF(SUM($Q$4:Q157)&gt;39891.29,1,0))</f>
        <v>0</v>
      </c>
      <c r="V157" s="36"/>
      <c r="W157" s="36"/>
      <c r="X157" s="36"/>
      <c r="Y157" s="36"/>
      <c r="AA157" s="42"/>
      <c r="AB157" s="42"/>
      <c r="AC157" s="43"/>
      <c r="AD157" s="43"/>
      <c r="AE157" s="42"/>
      <c r="AF157" s="44"/>
      <c r="AG157" s="45"/>
      <c r="AH157" s="43"/>
      <c r="AI157" s="46"/>
      <c r="AJ157" s="47"/>
      <c r="AV157" s="32"/>
    </row>
    <row r="158" spans="2:48" ht="16.5" thickBot="1" x14ac:dyDescent="0.3">
      <c r="B158" s="15">
        <v>155</v>
      </c>
      <c r="C158" s="16">
        <f t="shared" si="40"/>
        <v>46846</v>
      </c>
      <c r="D158" s="17">
        <f t="shared" si="35"/>
        <v>2028</v>
      </c>
      <c r="E158" s="18">
        <f t="shared" si="41"/>
        <v>29052.58</v>
      </c>
      <c r="F158" s="18">
        <v>648.62</v>
      </c>
      <c r="G158" s="19">
        <f t="shared" si="36"/>
        <v>2.2325728042053405E-2</v>
      </c>
      <c r="H158" s="18">
        <f t="shared" si="44"/>
        <v>0</v>
      </c>
      <c r="I158" s="18">
        <f t="shared" si="37"/>
        <v>29701.200000000001</v>
      </c>
      <c r="K158" s="18">
        <f t="shared" si="33"/>
        <v>1741.9244120568721</v>
      </c>
      <c r="L158" s="19">
        <v>2.5000000000000001E-2</v>
      </c>
      <c r="M158" s="18">
        <f t="shared" si="38"/>
        <v>0</v>
      </c>
      <c r="N158" s="18">
        <f t="shared" si="42"/>
        <v>71418.90089433176</v>
      </c>
      <c r="P158" s="20">
        <f t="shared" si="43"/>
        <v>7642.05</v>
      </c>
      <c r="Q158" s="59"/>
      <c r="R158" s="22"/>
      <c r="S158" s="18">
        <f t="shared" si="34"/>
        <v>0</v>
      </c>
      <c r="T158" s="18">
        <f t="shared" si="39"/>
        <v>7642.05</v>
      </c>
      <c r="U158" s="41">
        <f>IF(SUM($U$4:U157)=1,0,IF(SUM($Q$4:Q158)&gt;39891.29,1,0))</f>
        <v>0</v>
      </c>
      <c r="V158" s="23"/>
      <c r="W158" s="23"/>
      <c r="X158" s="23"/>
      <c r="Y158" s="23"/>
      <c r="AA158" s="51"/>
      <c r="AB158" s="51"/>
      <c r="AC158" s="52"/>
      <c r="AD158" s="52"/>
      <c r="AE158" s="51"/>
      <c r="AF158" s="53"/>
      <c r="AG158" s="54"/>
      <c r="AH158" s="52"/>
      <c r="AI158" s="28"/>
      <c r="AJ158" s="55"/>
      <c r="AV158" s="32"/>
    </row>
    <row r="159" spans="2:48" ht="16.5" thickBot="1" x14ac:dyDescent="0.3">
      <c r="B159" s="33">
        <v>156</v>
      </c>
      <c r="C159" s="34">
        <f t="shared" si="40"/>
        <v>46853</v>
      </c>
      <c r="D159" s="35">
        <f t="shared" si="35"/>
        <v>2028</v>
      </c>
      <c r="E159" s="36">
        <f t="shared" si="41"/>
        <v>29701.200000000001</v>
      </c>
      <c r="F159" s="36">
        <v>668.08</v>
      </c>
      <c r="G159" s="37">
        <f t="shared" si="36"/>
        <v>2.2493367271356042E-2</v>
      </c>
      <c r="H159" s="36">
        <f t="shared" si="44"/>
        <v>100</v>
      </c>
      <c r="I159" s="36">
        <f t="shared" si="37"/>
        <v>30469.280000000002</v>
      </c>
      <c r="K159" s="36">
        <f t="shared" si="33"/>
        <v>1785.4725223582941</v>
      </c>
      <c r="L159" s="37">
        <v>2.5000000000000001E-2</v>
      </c>
      <c r="M159" s="36">
        <f t="shared" si="38"/>
        <v>100</v>
      </c>
      <c r="N159" s="36">
        <f t="shared" si="42"/>
        <v>73304.373416690054</v>
      </c>
      <c r="O159" s="115"/>
      <c r="P159" s="38">
        <f t="shared" si="43"/>
        <v>7642.05</v>
      </c>
      <c r="Q159" s="56"/>
      <c r="R159" s="40"/>
      <c r="S159" s="36">
        <f t="shared" si="34"/>
        <v>100</v>
      </c>
      <c r="T159" s="36">
        <f t="shared" si="39"/>
        <v>7742.05</v>
      </c>
      <c r="U159" s="41">
        <f>IF(SUM($U$4:U158)=1,0,IF(SUM($Q$4:Q159)&gt;39891.29,1,0))</f>
        <v>0</v>
      </c>
      <c r="V159" s="36"/>
      <c r="W159" s="36"/>
      <c r="X159" s="36"/>
      <c r="Y159" s="36"/>
      <c r="AA159" s="42"/>
      <c r="AB159" s="42"/>
      <c r="AC159" s="43"/>
      <c r="AD159" s="43"/>
      <c r="AE159" s="42"/>
      <c r="AF159" s="44"/>
      <c r="AG159" s="45"/>
      <c r="AH159" s="43"/>
      <c r="AI159" s="46"/>
      <c r="AJ159" s="47"/>
      <c r="AV159" s="32"/>
    </row>
    <row r="160" spans="2:48" ht="16.5" thickBot="1" x14ac:dyDescent="0.3">
      <c r="B160" s="15">
        <v>157</v>
      </c>
      <c r="C160" s="16">
        <f t="shared" si="40"/>
        <v>46860</v>
      </c>
      <c r="D160" s="17">
        <f t="shared" si="35"/>
        <v>2028</v>
      </c>
      <c r="E160" s="18">
        <f t="shared" si="41"/>
        <v>30469.280000000002</v>
      </c>
      <c r="F160" s="18">
        <v>688.12</v>
      </c>
      <c r="G160" s="19">
        <f t="shared" si="36"/>
        <v>2.2584058435250191E-2</v>
      </c>
      <c r="H160" s="18">
        <f t="shared" si="44"/>
        <v>0</v>
      </c>
      <c r="I160" s="18">
        <f t="shared" si="37"/>
        <v>31157.4</v>
      </c>
      <c r="K160" s="18">
        <f t="shared" si="33"/>
        <v>1832.6093354172515</v>
      </c>
      <c r="L160" s="19">
        <v>2.5000000000000001E-2</v>
      </c>
      <c r="M160" s="18">
        <f t="shared" si="38"/>
        <v>0</v>
      </c>
      <c r="N160" s="18">
        <f t="shared" si="42"/>
        <v>75136.982752107302</v>
      </c>
      <c r="P160" s="20">
        <f t="shared" si="43"/>
        <v>7742.05</v>
      </c>
      <c r="Q160" s="59"/>
      <c r="R160" s="22"/>
      <c r="S160" s="18">
        <f t="shared" si="34"/>
        <v>0</v>
      </c>
      <c r="T160" s="18">
        <f t="shared" si="39"/>
        <v>7742.05</v>
      </c>
      <c r="U160" s="41">
        <f>IF(SUM($U$4:U159)=1,0,IF(SUM($Q$4:Q160)&gt;39891.29,1,0))</f>
        <v>0</v>
      </c>
      <c r="V160" s="23"/>
      <c r="W160" s="23"/>
      <c r="X160" s="23"/>
      <c r="Y160" s="23"/>
      <c r="AA160" s="51"/>
      <c r="AB160" s="51"/>
      <c r="AC160" s="52"/>
      <c r="AD160" s="52"/>
      <c r="AE160" s="51"/>
      <c r="AF160" s="53"/>
      <c r="AG160" s="54"/>
      <c r="AH160" s="52"/>
      <c r="AI160" s="28"/>
      <c r="AJ160" s="55"/>
      <c r="AV160" s="32"/>
    </row>
    <row r="161" spans="2:48" ht="16.5" thickBot="1" x14ac:dyDescent="0.3">
      <c r="B161" s="33">
        <v>158</v>
      </c>
      <c r="C161" s="34">
        <f t="shared" si="40"/>
        <v>46867</v>
      </c>
      <c r="D161" s="35">
        <f t="shared" si="35"/>
        <v>2028</v>
      </c>
      <c r="E161" s="36">
        <f t="shared" si="41"/>
        <v>31157.4</v>
      </c>
      <c r="F161" s="36">
        <v>708.76</v>
      </c>
      <c r="G161" s="37">
        <f t="shared" si="36"/>
        <v>2.2747726061866522E-2</v>
      </c>
      <c r="H161" s="36">
        <f t="shared" si="44"/>
        <v>100</v>
      </c>
      <c r="I161" s="36">
        <f t="shared" si="37"/>
        <v>31966.16</v>
      </c>
      <c r="K161" s="36">
        <f t="shared" si="33"/>
        <v>1878.4245688026826</v>
      </c>
      <c r="L161" s="37">
        <v>2.5000000000000001E-2</v>
      </c>
      <c r="M161" s="36">
        <f t="shared" si="38"/>
        <v>100</v>
      </c>
      <c r="N161" s="36">
        <f t="shared" si="42"/>
        <v>77115.407320909988</v>
      </c>
      <c r="P161" s="38">
        <f t="shared" si="43"/>
        <v>7742.05</v>
      </c>
      <c r="Q161" s="56"/>
      <c r="R161" s="40"/>
      <c r="S161" s="36">
        <f t="shared" si="34"/>
        <v>100</v>
      </c>
      <c r="T161" s="36">
        <f t="shared" si="39"/>
        <v>7842.05</v>
      </c>
      <c r="U161" s="41">
        <f>IF(SUM($U$4:U160)=1,0,IF(SUM($Q$4:Q161)&gt;39891.29,1,0))</f>
        <v>0</v>
      </c>
      <c r="V161" s="36"/>
      <c r="W161" s="36"/>
      <c r="X161" s="36"/>
      <c r="Y161" s="36"/>
      <c r="AA161" s="42"/>
      <c r="AB161" s="42"/>
      <c r="AC161" s="43"/>
      <c r="AD161" s="43"/>
      <c r="AE161" s="42"/>
      <c r="AF161" s="44"/>
      <c r="AG161" s="45"/>
      <c r="AH161" s="43"/>
      <c r="AI161" s="46"/>
      <c r="AJ161" s="47"/>
      <c r="AV161" s="32"/>
    </row>
    <row r="162" spans="2:48" ht="16.5" thickBot="1" x14ac:dyDescent="0.3">
      <c r="B162" s="15">
        <v>159</v>
      </c>
      <c r="C162" s="16">
        <f t="shared" si="40"/>
        <v>46874</v>
      </c>
      <c r="D162" s="17">
        <f t="shared" si="35"/>
        <v>2028</v>
      </c>
      <c r="E162" s="18">
        <f t="shared" si="41"/>
        <v>31966.16</v>
      </c>
      <c r="F162" s="18">
        <v>730.02</v>
      </c>
      <c r="G162" s="19">
        <f t="shared" si="36"/>
        <v>2.2837275418755333E-2</v>
      </c>
      <c r="H162" s="18">
        <f t="shared" si="44"/>
        <v>0</v>
      </c>
      <c r="I162" s="18">
        <f t="shared" si="37"/>
        <v>32696.18</v>
      </c>
      <c r="K162" s="18">
        <f t="shared" si="33"/>
        <v>1927.8851830227497</v>
      </c>
      <c r="L162" s="19">
        <v>2.5000000000000001E-2</v>
      </c>
      <c r="M162" s="18">
        <f t="shared" si="38"/>
        <v>0</v>
      </c>
      <c r="N162" s="18">
        <f t="shared" si="42"/>
        <v>79043.292503932738</v>
      </c>
      <c r="P162" s="20">
        <f t="shared" si="43"/>
        <v>7842.05</v>
      </c>
      <c r="Q162" s="59"/>
      <c r="R162" s="22"/>
      <c r="S162" s="18">
        <f t="shared" si="34"/>
        <v>0</v>
      </c>
      <c r="T162" s="18">
        <f t="shared" si="39"/>
        <v>7842.05</v>
      </c>
      <c r="U162" s="41">
        <f>IF(SUM($U$4:U161)=1,0,IF(SUM($Q$4:Q162)&gt;39891.29,1,0))</f>
        <v>0</v>
      </c>
      <c r="V162" s="23"/>
      <c r="W162" s="23"/>
      <c r="X162" s="23"/>
      <c r="Y162" s="23"/>
      <c r="AA162" s="51"/>
      <c r="AB162" s="51"/>
      <c r="AC162" s="52"/>
      <c r="AD162" s="52"/>
      <c r="AE162" s="51"/>
      <c r="AF162" s="53"/>
      <c r="AG162" s="54"/>
      <c r="AH162" s="52"/>
      <c r="AI162" s="28"/>
      <c r="AJ162" s="55"/>
      <c r="AV162" s="32"/>
    </row>
    <row r="163" spans="2:48" ht="16.5" thickBot="1" x14ac:dyDescent="0.3">
      <c r="B163" s="33">
        <v>160</v>
      </c>
      <c r="C163" s="34">
        <f t="shared" si="40"/>
        <v>46881</v>
      </c>
      <c r="D163" s="35">
        <f t="shared" si="35"/>
        <v>2028</v>
      </c>
      <c r="E163" s="36">
        <f t="shared" si="41"/>
        <v>32696.18</v>
      </c>
      <c r="F163" s="36">
        <v>751.93</v>
      </c>
      <c r="G163" s="37">
        <f t="shared" si="36"/>
        <v>2.299748777991802E-2</v>
      </c>
      <c r="H163" s="36">
        <f t="shared" si="44"/>
        <v>100</v>
      </c>
      <c r="I163" s="36">
        <f t="shared" si="37"/>
        <v>33548.11</v>
      </c>
      <c r="K163" s="36">
        <f t="shared" si="33"/>
        <v>1976.0823125983186</v>
      </c>
      <c r="L163" s="37">
        <v>2.5000000000000001E-2</v>
      </c>
      <c r="M163" s="36">
        <f t="shared" si="38"/>
        <v>100</v>
      </c>
      <c r="N163" s="36">
        <f t="shared" si="42"/>
        <v>81119.374816531054</v>
      </c>
      <c r="P163" s="38">
        <f t="shared" si="43"/>
        <v>7842.05</v>
      </c>
      <c r="Q163" s="56"/>
      <c r="R163" s="40"/>
      <c r="S163" s="36">
        <f t="shared" si="34"/>
        <v>100</v>
      </c>
      <c r="T163" s="36">
        <f t="shared" si="39"/>
        <v>7942.05</v>
      </c>
      <c r="U163" s="41">
        <f>IF(SUM($U$4:U162)=1,0,IF(SUM($Q$4:Q163)&gt;39891.29,1,0))</f>
        <v>0</v>
      </c>
      <c r="V163" s="36"/>
      <c r="W163" s="36"/>
      <c r="X163" s="36"/>
      <c r="Y163" s="36"/>
      <c r="AA163" s="42"/>
      <c r="AB163" s="42"/>
      <c r="AC163" s="43"/>
      <c r="AD163" s="43"/>
      <c r="AE163" s="42"/>
      <c r="AF163" s="44"/>
      <c r="AG163" s="45"/>
      <c r="AH163" s="43"/>
      <c r="AI163" s="46"/>
      <c r="AJ163" s="47"/>
      <c r="AV163" s="32"/>
    </row>
    <row r="164" spans="2:48" ht="16.5" thickBot="1" x14ac:dyDescent="0.3">
      <c r="B164" s="15">
        <v>161</v>
      </c>
      <c r="C164" s="16">
        <f t="shared" si="40"/>
        <v>46888</v>
      </c>
      <c r="D164" s="17">
        <f t="shared" si="35"/>
        <v>2028</v>
      </c>
      <c r="E164" s="18">
        <f t="shared" si="41"/>
        <v>33548.11</v>
      </c>
      <c r="F164" s="18">
        <v>774.48</v>
      </c>
      <c r="G164" s="19">
        <f t="shared" si="36"/>
        <v>2.3085652217069756E-2</v>
      </c>
      <c r="H164" s="18">
        <f t="shared" si="44"/>
        <v>0</v>
      </c>
      <c r="I164" s="18">
        <f t="shared" si="37"/>
        <v>34322.590000000004</v>
      </c>
      <c r="K164" s="18">
        <f t="shared" si="33"/>
        <v>2027.9843704132763</v>
      </c>
      <c r="L164" s="19">
        <v>2.5000000000000001E-2</v>
      </c>
      <c r="M164" s="18">
        <f t="shared" si="38"/>
        <v>0</v>
      </c>
      <c r="N164" s="18">
        <f t="shared" si="42"/>
        <v>83147.359186944333</v>
      </c>
      <c r="P164" s="20">
        <f t="shared" si="43"/>
        <v>7942.05</v>
      </c>
      <c r="Q164" s="59"/>
      <c r="R164" s="22"/>
      <c r="S164" s="18">
        <f t="shared" si="34"/>
        <v>0</v>
      </c>
      <c r="T164" s="18">
        <f t="shared" si="39"/>
        <v>7942.05</v>
      </c>
      <c r="U164" s="41">
        <f>IF(SUM($U$4:U163)=1,0,IF(SUM($Q$4:Q164)&gt;39891.29,1,0))</f>
        <v>0</v>
      </c>
      <c r="V164" s="23"/>
      <c r="W164" s="23"/>
      <c r="X164" s="23"/>
      <c r="Y164" s="23"/>
      <c r="AA164" s="51"/>
      <c r="AB164" s="51"/>
      <c r="AC164" s="52"/>
      <c r="AD164" s="52"/>
      <c r="AE164" s="51"/>
      <c r="AF164" s="53"/>
      <c r="AG164" s="54"/>
      <c r="AH164" s="52"/>
      <c r="AI164" s="28"/>
      <c r="AJ164" s="55"/>
      <c r="AV164" s="32"/>
    </row>
    <row r="165" spans="2:48" ht="16.5" thickBot="1" x14ac:dyDescent="0.3">
      <c r="B165" s="33">
        <v>162</v>
      </c>
      <c r="C165" s="34">
        <f t="shared" si="40"/>
        <v>46895</v>
      </c>
      <c r="D165" s="35">
        <f t="shared" si="35"/>
        <v>2028</v>
      </c>
      <c r="E165" s="36">
        <f t="shared" si="41"/>
        <v>34322.590000000004</v>
      </c>
      <c r="F165" s="36">
        <v>797.72</v>
      </c>
      <c r="G165" s="37">
        <f t="shared" si="36"/>
        <v>2.3241835770552277E-2</v>
      </c>
      <c r="H165" s="36">
        <f t="shared" si="44"/>
        <v>100</v>
      </c>
      <c r="I165" s="36">
        <f t="shared" si="37"/>
        <v>35220.310000000005</v>
      </c>
      <c r="K165" s="36">
        <f t="shared" si="33"/>
        <v>2078.6839796736085</v>
      </c>
      <c r="L165" s="37">
        <v>2.5000000000000001E-2</v>
      </c>
      <c r="M165" s="36">
        <f t="shared" si="38"/>
        <v>100</v>
      </c>
      <c r="N165" s="36">
        <f t="shared" si="42"/>
        <v>85326.043166617936</v>
      </c>
      <c r="P165" s="38">
        <f t="shared" si="43"/>
        <v>7942.05</v>
      </c>
      <c r="Q165" s="56"/>
      <c r="R165" s="40"/>
      <c r="S165" s="36">
        <f t="shared" si="34"/>
        <v>100</v>
      </c>
      <c r="T165" s="36">
        <f t="shared" si="39"/>
        <v>8042.05</v>
      </c>
      <c r="U165" s="41">
        <f>IF(SUM($U$4:U164)=1,0,IF(SUM($Q$4:Q165)&gt;39891.29,1,0))</f>
        <v>0</v>
      </c>
      <c r="V165" s="36"/>
      <c r="W165" s="36"/>
      <c r="X165" s="36"/>
      <c r="Y165" s="36"/>
      <c r="AA165" s="42"/>
      <c r="AB165" s="42"/>
      <c r="AC165" s="43"/>
      <c r="AD165" s="43"/>
      <c r="AE165" s="42"/>
      <c r="AF165" s="44"/>
      <c r="AG165" s="45"/>
      <c r="AH165" s="43"/>
      <c r="AI165" s="46"/>
      <c r="AJ165" s="47"/>
      <c r="AV165" s="32"/>
    </row>
    <row r="166" spans="2:48" ht="16.5" thickBot="1" x14ac:dyDescent="0.3">
      <c r="B166" s="15">
        <v>163</v>
      </c>
      <c r="C166" s="16">
        <f t="shared" si="40"/>
        <v>46902</v>
      </c>
      <c r="D166" s="17">
        <f t="shared" si="35"/>
        <v>2028</v>
      </c>
      <c r="E166" s="18">
        <f t="shared" si="41"/>
        <v>35220.310000000005</v>
      </c>
      <c r="F166" s="18">
        <v>821.65</v>
      </c>
      <c r="G166" s="19">
        <f t="shared" si="36"/>
        <v>2.332886905311168E-2</v>
      </c>
      <c r="H166" s="18">
        <f t="shared" si="44"/>
        <v>0</v>
      </c>
      <c r="I166" s="18">
        <f t="shared" si="37"/>
        <v>36041.960000000006</v>
      </c>
      <c r="K166" s="18">
        <f t="shared" si="33"/>
        <v>2133.1510791654487</v>
      </c>
      <c r="L166" s="19">
        <v>2.5000000000000001E-2</v>
      </c>
      <c r="M166" s="18">
        <f t="shared" si="38"/>
        <v>0</v>
      </c>
      <c r="N166" s="18">
        <f t="shared" si="42"/>
        <v>87459.194245783379</v>
      </c>
      <c r="P166" s="20">
        <f t="shared" si="43"/>
        <v>8042.05</v>
      </c>
      <c r="Q166" s="59"/>
      <c r="R166" s="22"/>
      <c r="S166" s="18">
        <f t="shared" si="34"/>
        <v>0</v>
      </c>
      <c r="T166" s="18">
        <f t="shared" si="39"/>
        <v>8042.05</v>
      </c>
      <c r="U166" s="41">
        <f>IF(SUM($U$4:U165)=1,0,IF(SUM($Q$4:Q166)&gt;39891.29,1,0))</f>
        <v>0</v>
      </c>
      <c r="V166" s="23"/>
      <c r="W166" s="23"/>
      <c r="X166" s="23"/>
      <c r="Y166" s="23"/>
      <c r="AA166" s="51"/>
      <c r="AB166" s="51"/>
      <c r="AC166" s="52"/>
      <c r="AD166" s="52"/>
      <c r="AE166" s="51"/>
      <c r="AF166" s="53"/>
      <c r="AG166" s="54"/>
      <c r="AH166" s="52"/>
      <c r="AI166" s="28"/>
      <c r="AJ166" s="55"/>
      <c r="AV166" s="32"/>
    </row>
    <row r="167" spans="2:48" ht="16.5" thickBot="1" x14ac:dyDescent="0.3">
      <c r="B167" s="33">
        <v>164</v>
      </c>
      <c r="C167" s="34">
        <f t="shared" si="40"/>
        <v>46909</v>
      </c>
      <c r="D167" s="35">
        <f t="shared" si="35"/>
        <v>2028</v>
      </c>
      <c r="E167" s="36">
        <f t="shared" si="41"/>
        <v>36041.960000000006</v>
      </c>
      <c r="F167" s="36">
        <v>846.3</v>
      </c>
      <c r="G167" s="37">
        <f t="shared" si="36"/>
        <v>2.3480964964169536E-2</v>
      </c>
      <c r="H167" s="36">
        <f t="shared" si="44"/>
        <v>100</v>
      </c>
      <c r="I167" s="36">
        <f t="shared" si="37"/>
        <v>36988.260000000009</v>
      </c>
      <c r="K167" s="36">
        <f t="shared" si="33"/>
        <v>2186.4798561445846</v>
      </c>
      <c r="L167" s="37">
        <v>2.5000000000000001E-2</v>
      </c>
      <c r="M167" s="36">
        <f t="shared" si="38"/>
        <v>100</v>
      </c>
      <c r="N167" s="36">
        <f t="shared" si="42"/>
        <v>89745.674101927958</v>
      </c>
      <c r="P167" s="38">
        <f t="shared" si="43"/>
        <v>8042.05</v>
      </c>
      <c r="Q167" s="56"/>
      <c r="R167" s="40"/>
      <c r="S167" s="36">
        <f t="shared" si="34"/>
        <v>100</v>
      </c>
      <c r="T167" s="36">
        <f t="shared" si="39"/>
        <v>8142.05</v>
      </c>
      <c r="U167" s="41">
        <f>IF(SUM($U$4:U166)=1,0,IF(SUM($Q$4:Q167)&gt;39891.29,1,0))</f>
        <v>0</v>
      </c>
      <c r="V167" s="36"/>
      <c r="W167" s="36"/>
      <c r="X167" s="36"/>
      <c r="Y167" s="36"/>
      <c r="AA167" s="42"/>
      <c r="AB167" s="42"/>
      <c r="AC167" s="43"/>
      <c r="AD167" s="43"/>
      <c r="AE167" s="42"/>
      <c r="AF167" s="44"/>
      <c r="AG167" s="45"/>
      <c r="AH167" s="43"/>
      <c r="AI167" s="46"/>
      <c r="AJ167" s="47"/>
      <c r="AV167" s="32"/>
    </row>
    <row r="168" spans="2:48" ht="16.5" thickBot="1" x14ac:dyDescent="0.3">
      <c r="B168" s="15">
        <v>165</v>
      </c>
      <c r="C168" s="16">
        <f t="shared" si="40"/>
        <v>46916</v>
      </c>
      <c r="D168" s="17">
        <f t="shared" si="35"/>
        <v>2028</v>
      </c>
      <c r="E168" s="18">
        <f t="shared" si="41"/>
        <v>36988.260000000009</v>
      </c>
      <c r="F168" s="18">
        <v>871.69</v>
      </c>
      <c r="G168" s="19">
        <f t="shared" si="36"/>
        <v>2.3566666828880294E-2</v>
      </c>
      <c r="H168" s="18">
        <f t="shared" si="44"/>
        <v>0</v>
      </c>
      <c r="I168" s="18">
        <f t="shared" si="37"/>
        <v>37859.950000000012</v>
      </c>
      <c r="K168" s="18">
        <f t="shared" si="33"/>
        <v>2243.641852548199</v>
      </c>
      <c r="L168" s="19">
        <v>2.5000000000000001E-2</v>
      </c>
      <c r="M168" s="18">
        <f t="shared" si="38"/>
        <v>0</v>
      </c>
      <c r="N168" s="18">
        <f t="shared" si="42"/>
        <v>91989.315954476158</v>
      </c>
      <c r="P168" s="20">
        <f t="shared" si="43"/>
        <v>8142.05</v>
      </c>
      <c r="Q168" s="59"/>
      <c r="R168" s="22"/>
      <c r="S168" s="18">
        <f t="shared" si="34"/>
        <v>0</v>
      </c>
      <c r="T168" s="18">
        <f t="shared" si="39"/>
        <v>8142.05</v>
      </c>
      <c r="U168" s="41">
        <f>IF(SUM($U$4:U167)=1,0,IF(SUM($Q$4:Q168)&gt;39891.29,1,0))</f>
        <v>0</v>
      </c>
      <c r="V168" s="23"/>
      <c r="W168" s="23"/>
      <c r="X168" s="23"/>
      <c r="Y168" s="23"/>
      <c r="AA168" s="51"/>
      <c r="AB168" s="51"/>
      <c r="AC168" s="52"/>
      <c r="AD168" s="52"/>
      <c r="AE168" s="51"/>
      <c r="AF168" s="53"/>
      <c r="AG168" s="54"/>
      <c r="AH168" s="52"/>
      <c r="AI168" s="28"/>
      <c r="AJ168" s="55"/>
      <c r="AV168" s="32"/>
    </row>
    <row r="169" spans="2:48" ht="16.5" thickBot="1" x14ac:dyDescent="0.3">
      <c r="B169" s="33">
        <v>166</v>
      </c>
      <c r="C169" s="34">
        <f t="shared" si="40"/>
        <v>46923</v>
      </c>
      <c r="D169" s="35">
        <f t="shared" si="35"/>
        <v>2028</v>
      </c>
      <c r="E169" s="36">
        <f t="shared" si="41"/>
        <v>37859.950000000012</v>
      </c>
      <c r="F169" s="36">
        <v>897.84</v>
      </c>
      <c r="G169" s="37">
        <f t="shared" si="36"/>
        <v>2.3714769829331517E-2</v>
      </c>
      <c r="H169" s="36">
        <f t="shared" si="44"/>
        <v>100</v>
      </c>
      <c r="I169" s="36">
        <f t="shared" si="37"/>
        <v>38857.790000000008</v>
      </c>
      <c r="K169" s="36">
        <f t="shared" si="33"/>
        <v>2299.7328988619042</v>
      </c>
      <c r="L169" s="37">
        <v>2.5000000000000001E-2</v>
      </c>
      <c r="M169" s="36">
        <f t="shared" si="38"/>
        <v>100</v>
      </c>
      <c r="N169" s="36">
        <f t="shared" si="42"/>
        <v>94389.048853338056</v>
      </c>
      <c r="P169" s="38">
        <f t="shared" si="43"/>
        <v>8142.05</v>
      </c>
      <c r="Q169" s="56"/>
      <c r="R169" s="40"/>
      <c r="S169" s="36">
        <f t="shared" si="34"/>
        <v>100</v>
      </c>
      <c r="T169" s="36">
        <f t="shared" si="39"/>
        <v>8242.0499999999993</v>
      </c>
      <c r="U169" s="41">
        <f>IF(SUM($U$4:U168)=1,0,IF(SUM($Q$4:Q169)&gt;39891.29,1,0))</f>
        <v>0</v>
      </c>
      <c r="V169" s="36"/>
      <c r="W169" s="36"/>
      <c r="X169" s="36"/>
      <c r="Y169" s="36"/>
      <c r="AA169" s="42"/>
      <c r="AB169" s="42"/>
      <c r="AC169" s="43"/>
      <c r="AD169" s="43"/>
      <c r="AE169" s="42"/>
      <c r="AF169" s="44"/>
      <c r="AG169" s="45"/>
      <c r="AH169" s="43"/>
      <c r="AI169" s="46"/>
      <c r="AJ169" s="47"/>
      <c r="AV169" s="32"/>
    </row>
    <row r="170" spans="2:48" ht="16.5" thickBot="1" x14ac:dyDescent="0.3">
      <c r="B170" s="15">
        <v>167</v>
      </c>
      <c r="C170" s="16">
        <f t="shared" si="40"/>
        <v>46930</v>
      </c>
      <c r="D170" s="17">
        <f t="shared" si="35"/>
        <v>2028</v>
      </c>
      <c r="E170" s="18">
        <f t="shared" si="41"/>
        <v>38857.790000000008</v>
      </c>
      <c r="F170" s="18">
        <v>924.77</v>
      </c>
      <c r="G170" s="19">
        <f t="shared" si="36"/>
        <v>2.379883158563572E-2</v>
      </c>
      <c r="H170" s="18">
        <f t="shared" si="44"/>
        <v>0</v>
      </c>
      <c r="I170" s="18">
        <f t="shared" si="37"/>
        <v>39782.560000000005</v>
      </c>
      <c r="K170" s="18">
        <f t="shared" si="33"/>
        <v>2359.7262213334516</v>
      </c>
      <c r="L170" s="19">
        <v>2.5000000000000001E-2</v>
      </c>
      <c r="M170" s="18">
        <f t="shared" si="38"/>
        <v>0</v>
      </c>
      <c r="N170" s="18">
        <f t="shared" si="42"/>
        <v>96748.775074671503</v>
      </c>
      <c r="P170" s="20">
        <f t="shared" si="43"/>
        <v>8242.0499999999993</v>
      </c>
      <c r="Q170" s="59"/>
      <c r="R170" s="22"/>
      <c r="S170" s="18">
        <f t="shared" si="34"/>
        <v>0</v>
      </c>
      <c r="T170" s="18">
        <f t="shared" si="39"/>
        <v>8242.0499999999993</v>
      </c>
      <c r="U170" s="41">
        <f>IF(SUM($U$4:U169)=1,0,IF(SUM($Q$4:Q170)&gt;39891.29,1,0))</f>
        <v>0</v>
      </c>
      <c r="V170" s="23"/>
      <c r="W170" s="23"/>
      <c r="X170" s="23"/>
      <c r="Y170" s="23"/>
      <c r="AA170" s="51"/>
      <c r="AB170" s="51"/>
      <c r="AC170" s="52"/>
      <c r="AD170" s="52"/>
      <c r="AE170" s="51"/>
      <c r="AF170" s="53"/>
      <c r="AG170" s="54"/>
      <c r="AH170" s="52"/>
      <c r="AI170" s="28"/>
      <c r="AJ170" s="55"/>
      <c r="AV170" s="32"/>
    </row>
    <row r="171" spans="2:48" ht="16.5" thickBot="1" x14ac:dyDescent="0.3">
      <c r="B171" s="33">
        <v>168</v>
      </c>
      <c r="C171" s="34">
        <f t="shared" si="40"/>
        <v>46937</v>
      </c>
      <c r="D171" s="35">
        <f t="shared" si="35"/>
        <v>2028</v>
      </c>
      <c r="E171" s="36">
        <f t="shared" si="41"/>
        <v>39782.560000000005</v>
      </c>
      <c r="F171" s="36">
        <v>952.52</v>
      </c>
      <c r="G171" s="37">
        <f t="shared" si="36"/>
        <v>2.3943154990528511E-2</v>
      </c>
      <c r="H171" s="36">
        <f t="shared" si="44"/>
        <v>100</v>
      </c>
      <c r="I171" s="36">
        <f t="shared" si="37"/>
        <v>40835.08</v>
      </c>
      <c r="K171" s="36">
        <f t="shared" ref="K171:K234" si="45">L171*N170</f>
        <v>2418.7193768667876</v>
      </c>
      <c r="L171" s="37">
        <v>2.5000000000000001E-2</v>
      </c>
      <c r="M171" s="36">
        <f t="shared" si="38"/>
        <v>100</v>
      </c>
      <c r="N171" s="36">
        <f t="shared" si="42"/>
        <v>99267.494451538296</v>
      </c>
      <c r="P171" s="38">
        <f t="shared" si="43"/>
        <v>8242.0499999999993</v>
      </c>
      <c r="Q171" s="56"/>
      <c r="R171" s="40"/>
      <c r="S171" s="36">
        <f t="shared" si="34"/>
        <v>100</v>
      </c>
      <c r="T171" s="36">
        <f t="shared" si="39"/>
        <v>8342.0499999999993</v>
      </c>
      <c r="U171" s="41">
        <f>IF(SUM($U$4:U170)=1,0,IF(SUM($Q$4:Q171)&gt;39891.29,1,0))</f>
        <v>0</v>
      </c>
      <c r="V171" s="36"/>
      <c r="W171" s="36"/>
      <c r="X171" s="36"/>
      <c r="Y171" s="36"/>
      <c r="AA171" s="42"/>
      <c r="AB171" s="42"/>
      <c r="AC171" s="43"/>
      <c r="AD171" s="43"/>
      <c r="AE171" s="42"/>
      <c r="AF171" s="44"/>
      <c r="AG171" s="45"/>
      <c r="AH171" s="43"/>
      <c r="AI171" s="46"/>
      <c r="AJ171" s="47"/>
      <c r="AV171" s="32"/>
    </row>
    <row r="172" spans="2:48" ht="16.5" thickBot="1" x14ac:dyDescent="0.3">
      <c r="B172" s="15">
        <v>169</v>
      </c>
      <c r="C172" s="16">
        <f t="shared" si="40"/>
        <v>46944</v>
      </c>
      <c r="D172" s="17">
        <f t="shared" si="35"/>
        <v>2028</v>
      </c>
      <c r="E172" s="18">
        <f t="shared" si="41"/>
        <v>40835.08</v>
      </c>
      <c r="F172" s="18">
        <v>981.09</v>
      </c>
      <c r="G172" s="19">
        <f t="shared" si="36"/>
        <v>2.4025666167422716E-2</v>
      </c>
      <c r="H172" s="18">
        <f t="shared" si="44"/>
        <v>0</v>
      </c>
      <c r="I172" s="18">
        <f t="shared" si="37"/>
        <v>41816.17</v>
      </c>
      <c r="K172" s="18">
        <f t="shared" si="45"/>
        <v>2481.6873612884574</v>
      </c>
      <c r="L172" s="19">
        <v>2.5000000000000001E-2</v>
      </c>
      <c r="M172" s="18">
        <f t="shared" si="38"/>
        <v>0</v>
      </c>
      <c r="N172" s="18">
        <f t="shared" si="42"/>
        <v>101749.18181282675</v>
      </c>
      <c r="P172" s="20">
        <f t="shared" si="43"/>
        <v>8342.0499999999993</v>
      </c>
      <c r="Q172" s="59"/>
      <c r="R172" s="22"/>
      <c r="S172" s="18">
        <f t="shared" si="34"/>
        <v>0</v>
      </c>
      <c r="T172" s="18">
        <f t="shared" si="39"/>
        <v>8342.0499999999993</v>
      </c>
      <c r="U172" s="41">
        <f>IF(SUM($U$4:U171)=1,0,IF(SUM($Q$4:Q172)&gt;39891.29,1,0))</f>
        <v>0</v>
      </c>
      <c r="V172" s="23"/>
      <c r="W172" s="23"/>
      <c r="X172" s="23"/>
      <c r="Y172" s="23"/>
      <c r="AA172" s="51"/>
      <c r="AB172" s="51"/>
      <c r="AC172" s="52"/>
      <c r="AD172" s="52"/>
      <c r="AE172" s="51"/>
      <c r="AF172" s="53"/>
      <c r="AG172" s="54"/>
      <c r="AH172" s="52"/>
      <c r="AI172" s="28"/>
      <c r="AJ172" s="55"/>
      <c r="AV172" s="32"/>
    </row>
    <row r="173" spans="2:48" ht="16.5" thickBot="1" x14ac:dyDescent="0.3">
      <c r="B173" s="33">
        <v>170</v>
      </c>
      <c r="C173" s="34">
        <f t="shared" si="40"/>
        <v>46951</v>
      </c>
      <c r="D173" s="35">
        <f t="shared" si="35"/>
        <v>2028</v>
      </c>
      <c r="E173" s="36">
        <f t="shared" si="41"/>
        <v>41816.17</v>
      </c>
      <c r="F173" s="36">
        <v>1010.53</v>
      </c>
      <c r="G173" s="37">
        <f t="shared" si="36"/>
        <v>2.4166010421327443E-2</v>
      </c>
      <c r="H173" s="36">
        <f t="shared" si="44"/>
        <v>100</v>
      </c>
      <c r="I173" s="36">
        <f t="shared" si="37"/>
        <v>42926.7</v>
      </c>
      <c r="K173" s="36">
        <f t="shared" si="45"/>
        <v>2543.7295453206689</v>
      </c>
      <c r="L173" s="37">
        <v>2.5000000000000001E-2</v>
      </c>
      <c r="M173" s="36">
        <f t="shared" si="38"/>
        <v>100</v>
      </c>
      <c r="N173" s="36">
        <f t="shared" si="42"/>
        <v>104392.91135814742</v>
      </c>
      <c r="P173" s="38">
        <f t="shared" si="43"/>
        <v>8342.0499999999993</v>
      </c>
      <c r="Q173" s="56"/>
      <c r="R173" s="40"/>
      <c r="S173" s="36">
        <f t="shared" si="34"/>
        <v>100</v>
      </c>
      <c r="T173" s="36">
        <f t="shared" si="39"/>
        <v>8442.0499999999993</v>
      </c>
      <c r="U173" s="41">
        <f>IF(SUM($U$4:U172)=1,0,IF(SUM($Q$4:Q173)&gt;39891.29,1,0))</f>
        <v>0</v>
      </c>
      <c r="V173" s="36"/>
      <c r="W173" s="36"/>
      <c r="X173" s="36"/>
      <c r="Y173" s="36"/>
      <c r="AA173" s="42"/>
      <c r="AB173" s="42"/>
      <c r="AC173" s="43"/>
      <c r="AD173" s="43"/>
      <c r="AE173" s="42"/>
      <c r="AF173" s="44"/>
      <c r="AG173" s="45"/>
      <c r="AH173" s="43"/>
      <c r="AI173" s="46"/>
      <c r="AJ173" s="47"/>
      <c r="AV173" s="32"/>
    </row>
    <row r="174" spans="2:48" ht="16.5" thickBot="1" x14ac:dyDescent="0.3">
      <c r="B174" s="15">
        <v>171</v>
      </c>
      <c r="C174" s="16">
        <f t="shared" si="40"/>
        <v>46958</v>
      </c>
      <c r="D174" s="17">
        <f t="shared" si="35"/>
        <v>2028</v>
      </c>
      <c r="E174" s="18">
        <f t="shared" si="41"/>
        <v>42926.7</v>
      </c>
      <c r="F174" s="18">
        <v>1040.8399999999999</v>
      </c>
      <c r="G174" s="19">
        <f t="shared" si="36"/>
        <v>2.4246913925365796E-2</v>
      </c>
      <c r="H174" s="18">
        <f t="shared" si="44"/>
        <v>0</v>
      </c>
      <c r="I174" s="18">
        <f t="shared" si="37"/>
        <v>43967.539999999994</v>
      </c>
      <c r="K174" s="18">
        <f t="shared" si="45"/>
        <v>2609.8227839536858</v>
      </c>
      <c r="L174" s="19">
        <v>2.5000000000000001E-2</v>
      </c>
      <c r="M174" s="18">
        <f t="shared" si="38"/>
        <v>0</v>
      </c>
      <c r="N174" s="18">
        <f t="shared" si="42"/>
        <v>107002.73414210111</v>
      </c>
      <c r="P174" s="20">
        <f t="shared" si="43"/>
        <v>8442.0499999999993</v>
      </c>
      <c r="Q174" s="59"/>
      <c r="R174" s="22"/>
      <c r="S174" s="18">
        <f t="shared" ref="S174:S237" si="46">S172</f>
        <v>0</v>
      </c>
      <c r="T174" s="18">
        <f t="shared" si="39"/>
        <v>8442.0499999999993</v>
      </c>
      <c r="U174" s="41">
        <f>IF(SUM($U$4:U173)=1,0,IF(SUM($Q$4:Q174)&gt;39891.29,1,0))</f>
        <v>0</v>
      </c>
      <c r="V174" s="23"/>
      <c r="W174" s="23"/>
      <c r="X174" s="23"/>
      <c r="Y174" s="23"/>
      <c r="AA174" s="51"/>
      <c r="AB174" s="51"/>
      <c r="AC174" s="52"/>
      <c r="AD174" s="52"/>
      <c r="AE174" s="51"/>
      <c r="AF174" s="53"/>
      <c r="AG174" s="54"/>
      <c r="AH174" s="52"/>
      <c r="AI174" s="28"/>
      <c r="AJ174" s="55"/>
      <c r="AV174" s="32"/>
    </row>
    <row r="175" spans="2:48" ht="16.5" thickBot="1" x14ac:dyDescent="0.3">
      <c r="B175" s="33">
        <v>172</v>
      </c>
      <c r="C175" s="34">
        <f t="shared" si="40"/>
        <v>46965</v>
      </c>
      <c r="D175" s="35">
        <f t="shared" si="35"/>
        <v>2028</v>
      </c>
      <c r="E175" s="36">
        <f t="shared" si="41"/>
        <v>43967.539999999994</v>
      </c>
      <c r="F175" s="36">
        <v>1072.07</v>
      </c>
      <c r="G175" s="37">
        <f t="shared" si="36"/>
        <v>2.4383215435751011E-2</v>
      </c>
      <c r="H175" s="36">
        <f t="shared" si="44"/>
        <v>100</v>
      </c>
      <c r="I175" s="36">
        <f t="shared" si="37"/>
        <v>45139.609999999993</v>
      </c>
      <c r="K175" s="36">
        <f t="shared" si="45"/>
        <v>2675.0683535525277</v>
      </c>
      <c r="L175" s="37">
        <v>2.5000000000000001E-2</v>
      </c>
      <c r="M175" s="36">
        <f t="shared" si="38"/>
        <v>100</v>
      </c>
      <c r="N175" s="36">
        <f t="shared" si="42"/>
        <v>109777.80249565364</v>
      </c>
      <c r="P175" s="38">
        <f t="shared" si="43"/>
        <v>8442.0499999999993</v>
      </c>
      <c r="Q175" s="56"/>
      <c r="R175" s="40"/>
      <c r="S175" s="36">
        <f t="shared" si="46"/>
        <v>100</v>
      </c>
      <c r="T175" s="36">
        <f t="shared" si="39"/>
        <v>8542.0499999999993</v>
      </c>
      <c r="U175" s="41">
        <f>IF(SUM($U$4:U174)=1,0,IF(SUM($Q$4:Q175)&gt;39891.29,1,0))</f>
        <v>0</v>
      </c>
      <c r="V175" s="36"/>
      <c r="W175" s="36"/>
      <c r="X175" s="36"/>
      <c r="Y175" s="36"/>
      <c r="AA175" s="42"/>
      <c r="AB175" s="42"/>
      <c r="AC175" s="43"/>
      <c r="AD175" s="43"/>
      <c r="AE175" s="42"/>
      <c r="AF175" s="44"/>
      <c r="AG175" s="45"/>
      <c r="AH175" s="43"/>
      <c r="AI175" s="46"/>
      <c r="AJ175" s="47"/>
      <c r="AV175" s="32"/>
    </row>
    <row r="176" spans="2:48" ht="16.5" thickBot="1" x14ac:dyDescent="0.3">
      <c r="B176" s="15">
        <v>173</v>
      </c>
      <c r="C176" s="16">
        <f t="shared" si="40"/>
        <v>46972</v>
      </c>
      <c r="D176" s="17">
        <f t="shared" si="35"/>
        <v>2028</v>
      </c>
      <c r="E176" s="18">
        <f t="shared" si="41"/>
        <v>45139.609999999993</v>
      </c>
      <c r="F176" s="18">
        <v>1104.23</v>
      </c>
      <c r="G176" s="19">
        <f t="shared" si="36"/>
        <v>2.44625507398048E-2</v>
      </c>
      <c r="H176" s="18">
        <f t="shared" si="44"/>
        <v>0</v>
      </c>
      <c r="I176" s="18">
        <f t="shared" si="37"/>
        <v>46243.839999999997</v>
      </c>
      <c r="K176" s="18">
        <f t="shared" si="45"/>
        <v>2744.4450623913413</v>
      </c>
      <c r="L176" s="19">
        <v>2.5000000000000001E-2</v>
      </c>
      <c r="M176" s="18">
        <f t="shared" si="38"/>
        <v>0</v>
      </c>
      <c r="N176" s="18">
        <f t="shared" si="42"/>
        <v>112522.24755804498</v>
      </c>
      <c r="P176" s="20">
        <f t="shared" si="43"/>
        <v>8542.0499999999993</v>
      </c>
      <c r="Q176" s="59"/>
      <c r="R176" s="22"/>
      <c r="S176" s="18">
        <f t="shared" si="46"/>
        <v>0</v>
      </c>
      <c r="T176" s="18">
        <f t="shared" si="39"/>
        <v>8542.0499999999993</v>
      </c>
      <c r="U176" s="41">
        <f>IF(SUM($U$4:U175)=1,0,IF(SUM($Q$4:Q176)&gt;39891.29,1,0))</f>
        <v>0</v>
      </c>
      <c r="V176" s="23"/>
      <c r="W176" s="23"/>
      <c r="X176" s="23"/>
      <c r="Y176" s="23"/>
      <c r="AA176" s="51"/>
      <c r="AB176" s="51"/>
      <c r="AC176" s="52"/>
      <c r="AD176" s="52"/>
      <c r="AE176" s="51"/>
      <c r="AF176" s="53"/>
      <c r="AG176" s="54"/>
      <c r="AH176" s="52"/>
      <c r="AI176" s="28"/>
      <c r="AJ176" s="55"/>
      <c r="AV176" s="32"/>
    </row>
    <row r="177" spans="2:48" ht="16.5" thickBot="1" x14ac:dyDescent="0.3">
      <c r="B177" s="33">
        <v>174</v>
      </c>
      <c r="C177" s="34">
        <f t="shared" si="40"/>
        <v>46979</v>
      </c>
      <c r="D177" s="35">
        <f t="shared" si="35"/>
        <v>2028</v>
      </c>
      <c r="E177" s="36">
        <f t="shared" si="41"/>
        <v>46243.839999999997</v>
      </c>
      <c r="F177" s="36">
        <v>1137.3499999999999</v>
      </c>
      <c r="G177" s="37">
        <f t="shared" si="36"/>
        <v>2.4594627089791852E-2</v>
      </c>
      <c r="H177" s="36">
        <f t="shared" si="44"/>
        <v>100</v>
      </c>
      <c r="I177" s="36">
        <f t="shared" si="37"/>
        <v>47481.189999999995</v>
      </c>
      <c r="K177" s="36">
        <f t="shared" si="45"/>
        <v>2813.0561889511246</v>
      </c>
      <c r="L177" s="37">
        <v>2.5000000000000001E-2</v>
      </c>
      <c r="M177" s="36">
        <f t="shared" si="38"/>
        <v>100</v>
      </c>
      <c r="N177" s="36">
        <f t="shared" si="42"/>
        <v>115435.30374699611</v>
      </c>
      <c r="P177" s="38">
        <f t="shared" si="43"/>
        <v>8542.0499999999993</v>
      </c>
      <c r="Q177" s="56"/>
      <c r="R177" s="40"/>
      <c r="S177" s="36">
        <f t="shared" si="46"/>
        <v>100</v>
      </c>
      <c r="T177" s="36">
        <f t="shared" si="39"/>
        <v>8642.0499999999993</v>
      </c>
      <c r="U177" s="41">
        <f>IF(SUM($U$4:U176)=1,0,IF(SUM($Q$4:Q177)&gt;39891.29,1,0))</f>
        <v>0</v>
      </c>
      <c r="V177" s="36"/>
      <c r="W177" s="36"/>
      <c r="X177" s="36"/>
      <c r="Y177" s="36"/>
      <c r="AA177" s="42"/>
      <c r="AB177" s="42"/>
      <c r="AC177" s="43"/>
      <c r="AD177" s="43"/>
      <c r="AE177" s="42"/>
      <c r="AF177" s="44"/>
      <c r="AG177" s="45"/>
      <c r="AH177" s="43"/>
      <c r="AI177" s="46"/>
      <c r="AJ177" s="47"/>
      <c r="AV177" s="32"/>
    </row>
    <row r="178" spans="2:48" ht="16.5" thickBot="1" x14ac:dyDescent="0.3">
      <c r="B178" s="15">
        <v>175</v>
      </c>
      <c r="C178" s="16">
        <f t="shared" si="40"/>
        <v>46986</v>
      </c>
      <c r="D178" s="17">
        <f t="shared" si="35"/>
        <v>2028</v>
      </c>
      <c r="E178" s="18">
        <f t="shared" si="41"/>
        <v>47481.189999999995</v>
      </c>
      <c r="F178" s="18">
        <v>1171.48</v>
      </c>
      <c r="G178" s="19">
        <f t="shared" si="36"/>
        <v>2.4672507154938621E-2</v>
      </c>
      <c r="H178" s="18">
        <f t="shared" si="44"/>
        <v>0</v>
      </c>
      <c r="I178" s="18">
        <f t="shared" si="37"/>
        <v>48652.67</v>
      </c>
      <c r="K178" s="18">
        <f t="shared" si="45"/>
        <v>2885.8825936749031</v>
      </c>
      <c r="L178" s="19">
        <v>2.5000000000000001E-2</v>
      </c>
      <c r="M178" s="18">
        <f t="shared" si="38"/>
        <v>0</v>
      </c>
      <c r="N178" s="18">
        <f t="shared" si="42"/>
        <v>118321.18634067102</v>
      </c>
      <c r="P178" s="20">
        <f t="shared" si="43"/>
        <v>8642.0499999999993</v>
      </c>
      <c r="Q178" s="59"/>
      <c r="R178" s="22"/>
      <c r="S178" s="18">
        <f t="shared" si="46"/>
        <v>0</v>
      </c>
      <c r="T178" s="18">
        <f t="shared" si="39"/>
        <v>8642.0499999999993</v>
      </c>
      <c r="U178" s="41">
        <f>IF(SUM($U$4:U177)=1,0,IF(SUM($Q$4:Q178)&gt;39891.29,1,0))</f>
        <v>0</v>
      </c>
      <c r="V178" s="23"/>
      <c r="W178" s="23"/>
      <c r="X178" s="23"/>
      <c r="Y178" s="23"/>
      <c r="AA178" s="51"/>
      <c r="AB178" s="51"/>
      <c r="AC178" s="52"/>
      <c r="AD178" s="52"/>
      <c r="AE178" s="51"/>
      <c r="AF178" s="53"/>
      <c r="AG178" s="54"/>
      <c r="AH178" s="52"/>
      <c r="AI178" s="28"/>
      <c r="AJ178" s="55"/>
      <c r="AV178" s="32"/>
    </row>
    <row r="179" spans="2:48" ht="16.5" thickBot="1" x14ac:dyDescent="0.3">
      <c r="B179" s="33">
        <v>176</v>
      </c>
      <c r="C179" s="34">
        <f t="shared" si="40"/>
        <v>46993</v>
      </c>
      <c r="D179" s="35">
        <f t="shared" si="35"/>
        <v>2028</v>
      </c>
      <c r="E179" s="36">
        <f t="shared" si="41"/>
        <v>48652.67</v>
      </c>
      <c r="F179" s="36">
        <v>1206.6199999999999</v>
      </c>
      <c r="G179" s="37">
        <f t="shared" si="36"/>
        <v>2.4800694391489714E-2</v>
      </c>
      <c r="H179" s="36">
        <f t="shared" si="44"/>
        <v>100</v>
      </c>
      <c r="I179" s="36">
        <f t="shared" si="37"/>
        <v>49959.29</v>
      </c>
      <c r="J179" s="115"/>
      <c r="K179" s="36">
        <f t="shared" si="45"/>
        <v>2958.0296585167757</v>
      </c>
      <c r="L179" s="37">
        <v>2.5000000000000001E-2</v>
      </c>
      <c r="M179" s="36">
        <f t="shared" si="38"/>
        <v>100</v>
      </c>
      <c r="N179" s="36">
        <f t="shared" si="42"/>
        <v>121379.2159991878</v>
      </c>
      <c r="P179" s="38">
        <f t="shared" si="43"/>
        <v>8642.0499999999993</v>
      </c>
      <c r="Q179" s="56"/>
      <c r="R179" s="40"/>
      <c r="S179" s="36">
        <f t="shared" si="46"/>
        <v>100</v>
      </c>
      <c r="T179" s="36">
        <f t="shared" si="39"/>
        <v>8742.0499999999993</v>
      </c>
      <c r="U179" s="41">
        <f>IF(SUM($U$4:U178)=1,0,IF(SUM($Q$4:Q179)&gt;39891.29,1,0))</f>
        <v>0</v>
      </c>
      <c r="V179" s="36"/>
      <c r="W179" s="36"/>
      <c r="X179" s="36"/>
      <c r="Y179" s="36"/>
      <c r="AA179" s="42"/>
      <c r="AB179" s="42"/>
      <c r="AC179" s="43"/>
      <c r="AD179" s="43"/>
      <c r="AE179" s="42"/>
      <c r="AF179" s="44"/>
      <c r="AG179" s="45"/>
      <c r="AH179" s="43"/>
      <c r="AI179" s="46"/>
      <c r="AJ179" s="47"/>
      <c r="AV179" s="32"/>
    </row>
    <row r="180" spans="2:48" ht="16.5" thickBot="1" x14ac:dyDescent="0.3">
      <c r="B180" s="15">
        <v>177</v>
      </c>
      <c r="C180" s="16">
        <f t="shared" si="40"/>
        <v>47000</v>
      </c>
      <c r="D180" s="17">
        <f t="shared" si="35"/>
        <v>2028</v>
      </c>
      <c r="E180" s="18">
        <f t="shared" si="41"/>
        <v>49959.29</v>
      </c>
      <c r="F180" s="18">
        <v>1242.82</v>
      </c>
      <c r="G180" s="19">
        <f t="shared" si="36"/>
        <v>2.4876654572152646E-2</v>
      </c>
      <c r="H180" s="18">
        <f t="shared" si="44"/>
        <v>0</v>
      </c>
      <c r="I180" s="18">
        <f t="shared" si="37"/>
        <v>51202.11</v>
      </c>
      <c r="K180" s="18">
        <f t="shared" si="45"/>
        <v>3034.480399979695</v>
      </c>
      <c r="L180" s="19">
        <v>2.5000000000000001E-2</v>
      </c>
      <c r="M180" s="18">
        <f t="shared" si="38"/>
        <v>0</v>
      </c>
      <c r="N180" s="18">
        <f t="shared" si="42"/>
        <v>124413.6963991675</v>
      </c>
      <c r="P180" s="20">
        <f t="shared" si="43"/>
        <v>8742.0499999999993</v>
      </c>
      <c r="Q180" s="59"/>
      <c r="R180" s="22"/>
      <c r="S180" s="18">
        <f t="shared" si="46"/>
        <v>0</v>
      </c>
      <c r="T180" s="18">
        <f t="shared" si="39"/>
        <v>8742.0499999999993</v>
      </c>
      <c r="U180" s="41">
        <f>IF(SUM($U$4:U179)=1,0,IF(SUM($Q$4:Q180)&gt;39891.29,1,0))</f>
        <v>0</v>
      </c>
      <c r="V180" s="23"/>
      <c r="W180" s="23"/>
      <c r="X180" s="23"/>
      <c r="Y180" s="23"/>
      <c r="AA180" s="51"/>
      <c r="AB180" s="51"/>
      <c r="AC180" s="52"/>
      <c r="AD180" s="52"/>
      <c r="AE180" s="51"/>
      <c r="AF180" s="53"/>
      <c r="AG180" s="54"/>
      <c r="AH180" s="52"/>
      <c r="AI180" s="28"/>
      <c r="AJ180" s="55"/>
      <c r="AV180" s="32"/>
    </row>
    <row r="181" spans="2:48" ht="16.5" thickBot="1" x14ac:dyDescent="0.3">
      <c r="B181" s="33">
        <v>178</v>
      </c>
      <c r="C181" s="34">
        <f t="shared" si="40"/>
        <v>47007</v>
      </c>
      <c r="D181" s="35">
        <f t="shared" si="35"/>
        <v>2028</v>
      </c>
      <c r="E181" s="36">
        <f t="shared" si="41"/>
        <v>51202.11</v>
      </c>
      <c r="F181" s="36">
        <v>1280.0999999999999</v>
      </c>
      <c r="G181" s="37">
        <f t="shared" si="36"/>
        <v>2.5000922813532486E-2</v>
      </c>
      <c r="H181" s="36">
        <f t="shared" si="44"/>
        <v>100</v>
      </c>
      <c r="I181" s="36">
        <f t="shared" si="37"/>
        <v>52582.21</v>
      </c>
      <c r="K181" s="36">
        <f t="shared" si="45"/>
        <v>3110.3424099791878</v>
      </c>
      <c r="L181" s="37">
        <v>2.5000000000000001E-2</v>
      </c>
      <c r="M181" s="36">
        <f t="shared" si="38"/>
        <v>100</v>
      </c>
      <c r="N181" s="36">
        <f t="shared" si="42"/>
        <v>127624.03880914669</v>
      </c>
      <c r="P181" s="38">
        <f t="shared" si="43"/>
        <v>8742.0499999999993</v>
      </c>
      <c r="Q181" s="56"/>
      <c r="R181" s="40"/>
      <c r="S181" s="36">
        <f t="shared" si="46"/>
        <v>100</v>
      </c>
      <c r="T181" s="36">
        <f t="shared" si="39"/>
        <v>8842.0499999999993</v>
      </c>
      <c r="U181" s="41">
        <f>IF(SUM($U$4:U180)=1,0,IF(SUM($Q$4:Q181)&gt;39891.29,1,0))</f>
        <v>0</v>
      </c>
      <c r="V181" s="36"/>
      <c r="W181" s="36"/>
      <c r="X181" s="36"/>
      <c r="Y181" s="36"/>
      <c r="AA181" s="42"/>
      <c r="AB181" s="42"/>
      <c r="AC181" s="43"/>
      <c r="AD181" s="43"/>
      <c r="AE181" s="42"/>
      <c r="AF181" s="44"/>
      <c r="AG181" s="45"/>
      <c r="AH181" s="43"/>
      <c r="AI181" s="46"/>
      <c r="AJ181" s="47"/>
      <c r="AV181" s="32"/>
    </row>
    <row r="182" spans="2:48" ht="16.5" thickBot="1" x14ac:dyDescent="0.3">
      <c r="B182" s="15">
        <v>179</v>
      </c>
      <c r="C182" s="16">
        <f t="shared" si="40"/>
        <v>47014</v>
      </c>
      <c r="D182" s="17">
        <f t="shared" si="35"/>
        <v>2028</v>
      </c>
      <c r="E182" s="18">
        <f t="shared" si="41"/>
        <v>52582.21</v>
      </c>
      <c r="F182" s="18">
        <v>1318.51</v>
      </c>
      <c r="G182" s="19">
        <f t="shared" si="36"/>
        <v>2.5075210798481084E-2</v>
      </c>
      <c r="H182" s="18">
        <f t="shared" si="44"/>
        <v>0</v>
      </c>
      <c r="I182" s="18">
        <f t="shared" si="37"/>
        <v>53900.72</v>
      </c>
      <c r="K182" s="18">
        <f t="shared" si="45"/>
        <v>3190.6009702286674</v>
      </c>
      <c r="L182" s="19">
        <v>2.5000000000000001E-2</v>
      </c>
      <c r="M182" s="18">
        <f t="shared" si="38"/>
        <v>0</v>
      </c>
      <c r="N182" s="18">
        <f t="shared" si="42"/>
        <v>130814.63977937536</v>
      </c>
      <c r="P182" s="20">
        <f t="shared" si="43"/>
        <v>8842.0499999999993</v>
      </c>
      <c r="Q182" s="59"/>
      <c r="R182" s="22"/>
      <c r="S182" s="18">
        <f t="shared" si="46"/>
        <v>0</v>
      </c>
      <c r="T182" s="18">
        <f t="shared" si="39"/>
        <v>8842.0499999999993</v>
      </c>
      <c r="U182" s="41">
        <f>IF(SUM($U$4:U181)=1,0,IF(SUM($Q$4:Q182)&gt;39891.29,1,0))</f>
        <v>0</v>
      </c>
      <c r="V182" s="23"/>
      <c r="W182" s="23"/>
      <c r="X182" s="23"/>
      <c r="Y182" s="23"/>
      <c r="AA182" s="51"/>
      <c r="AB182" s="51"/>
      <c r="AC182" s="52"/>
      <c r="AD182" s="52"/>
      <c r="AE182" s="51"/>
      <c r="AF182" s="53"/>
      <c r="AG182" s="54"/>
      <c r="AH182" s="52"/>
      <c r="AI182" s="28"/>
      <c r="AJ182" s="55"/>
      <c r="AV182" s="32"/>
    </row>
    <row r="183" spans="2:48" ht="16.5" thickBot="1" x14ac:dyDescent="0.3">
      <c r="B183" s="33">
        <v>180</v>
      </c>
      <c r="C183" s="34">
        <f t="shared" si="40"/>
        <v>47021</v>
      </c>
      <c r="D183" s="35">
        <f t="shared" si="35"/>
        <v>2028</v>
      </c>
      <c r="E183" s="36">
        <f t="shared" si="41"/>
        <v>53900.72</v>
      </c>
      <c r="F183" s="36">
        <v>1358.06</v>
      </c>
      <c r="G183" s="37">
        <f t="shared" si="36"/>
        <v>2.5195581802988903E-2</v>
      </c>
      <c r="H183" s="36">
        <f t="shared" si="44"/>
        <v>100</v>
      </c>
      <c r="I183" s="36">
        <f t="shared" si="37"/>
        <v>55358.78</v>
      </c>
      <c r="K183" s="36">
        <f t="shared" si="45"/>
        <v>3270.3659944843839</v>
      </c>
      <c r="L183" s="37">
        <v>2.5000000000000001E-2</v>
      </c>
      <c r="M183" s="36">
        <f t="shared" si="38"/>
        <v>100</v>
      </c>
      <c r="N183" s="36">
        <f t="shared" si="42"/>
        <v>134185.00577385974</v>
      </c>
      <c r="P183" s="38">
        <f t="shared" si="43"/>
        <v>8842.0499999999993</v>
      </c>
      <c r="Q183" s="56"/>
      <c r="R183" s="40"/>
      <c r="S183" s="36">
        <f t="shared" si="46"/>
        <v>100</v>
      </c>
      <c r="T183" s="36">
        <f t="shared" si="39"/>
        <v>8942.0499999999993</v>
      </c>
      <c r="U183" s="41">
        <f>IF(SUM($U$4:U182)=1,0,IF(SUM($Q$4:Q183)&gt;39891.29,1,0))</f>
        <v>0</v>
      </c>
      <c r="V183" s="36"/>
      <c r="W183" s="36"/>
      <c r="X183" s="36"/>
      <c r="Y183" s="36"/>
      <c r="AA183" s="42"/>
      <c r="AB183" s="42"/>
      <c r="AC183" s="43"/>
      <c r="AD183" s="43"/>
      <c r="AE183" s="42"/>
      <c r="AF183" s="44"/>
      <c r="AG183" s="45"/>
      <c r="AH183" s="43"/>
      <c r="AI183" s="46"/>
      <c r="AJ183" s="47"/>
      <c r="AV183" s="32"/>
    </row>
    <row r="184" spans="2:48" ht="16.5" thickBot="1" x14ac:dyDescent="0.3">
      <c r="B184" s="15">
        <v>181</v>
      </c>
      <c r="C184" s="16">
        <f t="shared" si="40"/>
        <v>47028</v>
      </c>
      <c r="D184" s="17">
        <f t="shared" si="35"/>
        <v>2028</v>
      </c>
      <c r="E184" s="18">
        <f t="shared" si="41"/>
        <v>55358.78</v>
      </c>
      <c r="F184" s="18">
        <v>1398.8</v>
      </c>
      <c r="G184" s="19">
        <f t="shared" si="36"/>
        <v>2.5267897883587753E-2</v>
      </c>
      <c r="H184" s="18">
        <f t="shared" si="44"/>
        <v>0</v>
      </c>
      <c r="I184" s="18">
        <f t="shared" si="37"/>
        <v>56757.58</v>
      </c>
      <c r="K184" s="18">
        <f t="shared" si="45"/>
        <v>3354.6251443464935</v>
      </c>
      <c r="L184" s="19">
        <v>2.5000000000000001E-2</v>
      </c>
      <c r="M184" s="18">
        <f t="shared" si="38"/>
        <v>0</v>
      </c>
      <c r="N184" s="18">
        <f t="shared" si="42"/>
        <v>137539.63091820624</v>
      </c>
      <c r="P184" s="20">
        <f t="shared" si="43"/>
        <v>8942.0499999999993</v>
      </c>
      <c r="Q184" s="59"/>
      <c r="R184" s="22"/>
      <c r="S184" s="18">
        <f t="shared" si="46"/>
        <v>0</v>
      </c>
      <c r="T184" s="18">
        <f t="shared" si="39"/>
        <v>8942.0499999999993</v>
      </c>
      <c r="U184" s="41">
        <f>IF(SUM($U$4:U183)=1,0,IF(SUM($Q$4:Q184)&gt;39891.29,1,0))</f>
        <v>0</v>
      </c>
      <c r="V184" s="23"/>
      <c r="W184" s="23"/>
      <c r="X184" s="23"/>
      <c r="Y184" s="23"/>
      <c r="AA184" s="51"/>
      <c r="AB184" s="51"/>
      <c r="AC184" s="52"/>
      <c r="AD184" s="52"/>
      <c r="AE184" s="51"/>
      <c r="AF184" s="53"/>
      <c r="AG184" s="54"/>
      <c r="AH184" s="52"/>
      <c r="AI184" s="28"/>
      <c r="AJ184" s="55"/>
      <c r="AV184" s="32"/>
    </row>
    <row r="185" spans="2:48" ht="16.5" thickBot="1" x14ac:dyDescent="0.3">
      <c r="B185" s="33">
        <v>182</v>
      </c>
      <c r="C185" s="34">
        <f t="shared" si="40"/>
        <v>47035</v>
      </c>
      <c r="D185" s="35">
        <f t="shared" si="35"/>
        <v>2028</v>
      </c>
      <c r="E185" s="36">
        <f t="shared" si="41"/>
        <v>56757.58</v>
      </c>
      <c r="F185" s="36">
        <v>1440.77</v>
      </c>
      <c r="G185" s="37">
        <f t="shared" si="36"/>
        <v>2.538462704012398E-2</v>
      </c>
      <c r="H185" s="36">
        <f t="shared" si="44"/>
        <v>100</v>
      </c>
      <c r="I185" s="36">
        <f t="shared" si="37"/>
        <v>58298.35</v>
      </c>
      <c r="K185" s="36">
        <f t="shared" si="45"/>
        <v>3438.490772955156</v>
      </c>
      <c r="L185" s="37">
        <v>2.5000000000000001E-2</v>
      </c>
      <c r="M185" s="36">
        <f t="shared" si="38"/>
        <v>100</v>
      </c>
      <c r="N185" s="36">
        <f t="shared" si="42"/>
        <v>141078.12169116139</v>
      </c>
      <c r="P185" s="38">
        <f t="shared" si="43"/>
        <v>8942.0499999999993</v>
      </c>
      <c r="Q185" s="56"/>
      <c r="R185" s="40"/>
      <c r="S185" s="36">
        <f t="shared" si="46"/>
        <v>100</v>
      </c>
      <c r="T185" s="36">
        <f t="shared" si="39"/>
        <v>9042.0499999999993</v>
      </c>
      <c r="U185" s="41">
        <f>IF(SUM($U$4:U184)=1,0,IF(SUM($Q$4:Q185)&gt;39891.29,1,0))</f>
        <v>0</v>
      </c>
      <c r="V185" s="36"/>
      <c r="W185" s="36"/>
      <c r="X185" s="36"/>
      <c r="Y185" s="36"/>
      <c r="AA185" s="42"/>
      <c r="AB185" s="42"/>
      <c r="AC185" s="43"/>
      <c r="AD185" s="43"/>
      <c r="AE185" s="42"/>
      <c r="AF185" s="44"/>
      <c r="AG185" s="45"/>
      <c r="AH185" s="43"/>
      <c r="AI185" s="46"/>
      <c r="AJ185" s="47"/>
      <c r="AV185" s="32"/>
    </row>
    <row r="186" spans="2:48" ht="16.5" thickBot="1" x14ac:dyDescent="0.3">
      <c r="B186" s="15">
        <v>183</v>
      </c>
      <c r="C186" s="16">
        <f t="shared" si="40"/>
        <v>47042</v>
      </c>
      <c r="D186" s="17">
        <f t="shared" si="35"/>
        <v>2028</v>
      </c>
      <c r="E186" s="18">
        <f t="shared" si="41"/>
        <v>58298.35</v>
      </c>
      <c r="F186" s="18">
        <v>1483.99</v>
      </c>
      <c r="G186" s="19">
        <f t="shared" si="36"/>
        <v>2.5455094355157564E-2</v>
      </c>
      <c r="H186" s="18">
        <f t="shared" si="44"/>
        <v>0</v>
      </c>
      <c r="I186" s="18">
        <f t="shared" si="37"/>
        <v>59782.34</v>
      </c>
      <c r="K186" s="18">
        <f t="shared" si="45"/>
        <v>3526.9530422790349</v>
      </c>
      <c r="L186" s="19">
        <v>2.5000000000000001E-2</v>
      </c>
      <c r="M186" s="18">
        <f t="shared" si="38"/>
        <v>0</v>
      </c>
      <c r="N186" s="18">
        <f t="shared" si="42"/>
        <v>144605.07473344042</v>
      </c>
      <c r="P186" s="20">
        <f t="shared" si="43"/>
        <v>9042.0499999999993</v>
      </c>
      <c r="Q186" s="59"/>
      <c r="R186" s="22"/>
      <c r="S186" s="18">
        <f t="shared" si="46"/>
        <v>0</v>
      </c>
      <c r="T186" s="18">
        <f t="shared" si="39"/>
        <v>9042.0499999999993</v>
      </c>
      <c r="U186" s="41">
        <f>IF(SUM($U$4:U185)=1,0,IF(SUM($Q$4:Q186)&gt;39891.29,1,0))</f>
        <v>0</v>
      </c>
      <c r="V186" s="23"/>
      <c r="W186" s="23"/>
      <c r="X186" s="23"/>
      <c r="Y186" s="23"/>
      <c r="AA186" s="51"/>
      <c r="AB186" s="51"/>
      <c r="AC186" s="52"/>
      <c r="AD186" s="52"/>
      <c r="AE186" s="51"/>
      <c r="AF186" s="53"/>
      <c r="AG186" s="54"/>
      <c r="AH186" s="52"/>
      <c r="AI186" s="28"/>
      <c r="AJ186" s="55"/>
      <c r="AV186" s="32"/>
    </row>
    <row r="187" spans="2:48" ht="16.5" thickBot="1" x14ac:dyDescent="0.3">
      <c r="B187" s="33">
        <v>184</v>
      </c>
      <c r="C187" s="34">
        <f t="shared" si="40"/>
        <v>47049</v>
      </c>
      <c r="D187" s="35">
        <f t="shared" si="35"/>
        <v>2028</v>
      </c>
      <c r="E187" s="36">
        <f t="shared" si="41"/>
        <v>59782.34</v>
      </c>
      <c r="F187" s="36">
        <v>1528.51</v>
      </c>
      <c r="G187" s="37">
        <f t="shared" si="36"/>
        <v>2.5567918552535752E-2</v>
      </c>
      <c r="H187" s="36">
        <f t="shared" si="44"/>
        <v>100</v>
      </c>
      <c r="I187" s="36">
        <f t="shared" si="37"/>
        <v>61410.85</v>
      </c>
      <c r="K187" s="36">
        <f t="shared" si="45"/>
        <v>3615.1268683360104</v>
      </c>
      <c r="L187" s="37">
        <v>2.5000000000000001E-2</v>
      </c>
      <c r="M187" s="36">
        <f t="shared" si="38"/>
        <v>100</v>
      </c>
      <c r="N187" s="36">
        <f t="shared" si="42"/>
        <v>148320.20160177641</v>
      </c>
      <c r="P187" s="38">
        <f t="shared" si="43"/>
        <v>9042.0499999999993</v>
      </c>
      <c r="Q187" s="56"/>
      <c r="R187" s="40"/>
      <c r="S187" s="36">
        <f t="shared" si="46"/>
        <v>100</v>
      </c>
      <c r="T187" s="36">
        <f t="shared" si="39"/>
        <v>9142.0499999999993</v>
      </c>
      <c r="U187" s="41">
        <f>IF(SUM($U$4:U186)=1,0,IF(SUM($Q$4:Q187)&gt;39891.29,1,0))</f>
        <v>0</v>
      </c>
      <c r="V187" s="36"/>
      <c r="W187" s="36"/>
      <c r="X187" s="36"/>
      <c r="Y187" s="36"/>
      <c r="AA187" s="42"/>
      <c r="AB187" s="42"/>
      <c r="AC187" s="43"/>
      <c r="AD187" s="43"/>
      <c r="AE187" s="42"/>
      <c r="AF187" s="44"/>
      <c r="AG187" s="45"/>
      <c r="AH187" s="43"/>
      <c r="AI187" s="46"/>
      <c r="AJ187" s="47"/>
      <c r="AV187" s="32"/>
    </row>
    <row r="188" spans="2:48" ht="16.5" thickBot="1" x14ac:dyDescent="0.3">
      <c r="B188" s="15">
        <v>185</v>
      </c>
      <c r="C188" s="16">
        <f t="shared" si="40"/>
        <v>47056</v>
      </c>
      <c r="D188" s="17">
        <f t="shared" si="35"/>
        <v>2028</v>
      </c>
      <c r="E188" s="18">
        <f t="shared" si="41"/>
        <v>61410.85</v>
      </c>
      <c r="F188" s="18">
        <v>1574.37</v>
      </c>
      <c r="G188" s="19">
        <f t="shared" si="36"/>
        <v>2.5636674952390335E-2</v>
      </c>
      <c r="H188" s="18">
        <f t="shared" si="44"/>
        <v>0</v>
      </c>
      <c r="I188" s="18">
        <f t="shared" si="37"/>
        <v>62985.22</v>
      </c>
      <c r="K188" s="18">
        <f t="shared" si="45"/>
        <v>3708.0050400444106</v>
      </c>
      <c r="L188" s="19">
        <v>2.5000000000000001E-2</v>
      </c>
      <c r="M188" s="18">
        <f t="shared" si="38"/>
        <v>0</v>
      </c>
      <c r="N188" s="18">
        <f t="shared" si="42"/>
        <v>152028.20664182081</v>
      </c>
      <c r="P188" s="20">
        <f t="shared" si="43"/>
        <v>9142.0499999999993</v>
      </c>
      <c r="Q188" s="59"/>
      <c r="R188" s="22"/>
      <c r="S188" s="18">
        <f t="shared" si="46"/>
        <v>0</v>
      </c>
      <c r="T188" s="18">
        <f t="shared" si="39"/>
        <v>9142.0499999999993</v>
      </c>
      <c r="U188" s="41">
        <f>IF(SUM($U$4:U187)=1,0,IF(SUM($Q$4:Q188)&gt;39891.29,1,0))</f>
        <v>0</v>
      </c>
      <c r="V188" s="23"/>
      <c r="W188" s="23"/>
      <c r="X188" s="23"/>
      <c r="Y188" s="23"/>
      <c r="AA188" s="51"/>
      <c r="AB188" s="51"/>
      <c r="AC188" s="52"/>
      <c r="AD188" s="52"/>
      <c r="AE188" s="51"/>
      <c r="AF188" s="53"/>
      <c r="AG188" s="54"/>
      <c r="AH188" s="52"/>
      <c r="AI188" s="28"/>
      <c r="AJ188" s="55"/>
      <c r="AV188" s="32"/>
    </row>
    <row r="189" spans="2:48" ht="16.5" thickBot="1" x14ac:dyDescent="0.3">
      <c r="B189" s="33">
        <v>186</v>
      </c>
      <c r="C189" s="34">
        <f t="shared" si="40"/>
        <v>47063</v>
      </c>
      <c r="D189" s="35">
        <f t="shared" si="35"/>
        <v>2028</v>
      </c>
      <c r="E189" s="36">
        <f t="shared" si="41"/>
        <v>62985.22</v>
      </c>
      <c r="F189" s="36">
        <v>1621.6</v>
      </c>
      <c r="G189" s="37">
        <f t="shared" si="36"/>
        <v>2.5745722567929428E-2</v>
      </c>
      <c r="H189" s="36">
        <f t="shared" si="44"/>
        <v>100</v>
      </c>
      <c r="I189" s="36">
        <f t="shared" si="37"/>
        <v>64706.82</v>
      </c>
      <c r="K189" s="36">
        <f t="shared" si="45"/>
        <v>3800.7051660455204</v>
      </c>
      <c r="L189" s="37">
        <v>2.5000000000000001E-2</v>
      </c>
      <c r="M189" s="36">
        <f t="shared" si="38"/>
        <v>100</v>
      </c>
      <c r="N189" s="36">
        <f t="shared" si="42"/>
        <v>155928.91180786633</v>
      </c>
      <c r="P189" s="38">
        <f t="shared" si="43"/>
        <v>9142.0499999999993</v>
      </c>
      <c r="Q189" s="56"/>
      <c r="R189" s="40"/>
      <c r="S189" s="36">
        <f t="shared" si="46"/>
        <v>100</v>
      </c>
      <c r="T189" s="36">
        <f t="shared" si="39"/>
        <v>9242.0499999999993</v>
      </c>
      <c r="U189" s="41">
        <f>IF(SUM($U$4:U188)=1,0,IF(SUM($Q$4:Q189)&gt;39891.29,1,0))</f>
        <v>0</v>
      </c>
      <c r="V189" s="36"/>
      <c r="W189" s="36"/>
      <c r="X189" s="36"/>
      <c r="Y189" s="36"/>
      <c r="AA189" s="42"/>
      <c r="AB189" s="42"/>
      <c r="AC189" s="43"/>
      <c r="AD189" s="43"/>
      <c r="AE189" s="42"/>
      <c r="AF189" s="44"/>
      <c r="AG189" s="45"/>
      <c r="AH189" s="43"/>
      <c r="AI189" s="46"/>
      <c r="AJ189" s="47"/>
      <c r="AV189" s="32"/>
    </row>
    <row r="190" spans="2:48" ht="16.5" thickBot="1" x14ac:dyDescent="0.3">
      <c r="B190" s="15">
        <v>187</v>
      </c>
      <c r="C190" s="16">
        <f t="shared" si="40"/>
        <v>47070</v>
      </c>
      <c r="D190" s="17">
        <f t="shared" si="35"/>
        <v>2028</v>
      </c>
      <c r="E190" s="18">
        <f t="shared" si="41"/>
        <v>64706.82</v>
      </c>
      <c r="F190" s="18">
        <v>1670.24</v>
      </c>
      <c r="G190" s="19">
        <f t="shared" si="36"/>
        <v>2.5812425954482077E-2</v>
      </c>
      <c r="H190" s="18">
        <f t="shared" si="44"/>
        <v>0</v>
      </c>
      <c r="I190" s="18">
        <f t="shared" si="37"/>
        <v>66377.06</v>
      </c>
      <c r="K190" s="18">
        <f t="shared" si="45"/>
        <v>3898.2227951966584</v>
      </c>
      <c r="L190" s="19">
        <v>2.5000000000000001E-2</v>
      </c>
      <c r="M190" s="18">
        <f t="shared" si="38"/>
        <v>0</v>
      </c>
      <c r="N190" s="18">
        <f t="shared" si="42"/>
        <v>159827.13460306299</v>
      </c>
      <c r="P190" s="20">
        <f t="shared" si="43"/>
        <v>9242.0499999999993</v>
      </c>
      <c r="Q190" s="59"/>
      <c r="R190" s="22"/>
      <c r="S190" s="18">
        <f t="shared" si="46"/>
        <v>0</v>
      </c>
      <c r="T190" s="18">
        <f t="shared" si="39"/>
        <v>9242.0499999999993</v>
      </c>
      <c r="U190" s="41">
        <f>IF(SUM($U$4:U189)=1,0,IF(SUM($Q$4:Q190)&gt;39891.29,1,0))</f>
        <v>0</v>
      </c>
      <c r="V190" s="23"/>
      <c r="W190" s="23"/>
      <c r="X190" s="23"/>
      <c r="Y190" s="23"/>
      <c r="AA190" s="51"/>
      <c r="AB190" s="51"/>
      <c r="AC190" s="52"/>
      <c r="AD190" s="52"/>
      <c r="AE190" s="51"/>
      <c r="AF190" s="53"/>
      <c r="AG190" s="54"/>
      <c r="AH190" s="52"/>
      <c r="AI190" s="28"/>
      <c r="AJ190" s="55"/>
      <c r="AV190" s="32"/>
    </row>
    <row r="191" spans="2:48" ht="16.5" thickBot="1" x14ac:dyDescent="0.3">
      <c r="B191" s="33">
        <v>188</v>
      </c>
      <c r="C191" s="34">
        <f t="shared" si="40"/>
        <v>47077</v>
      </c>
      <c r="D191" s="35">
        <f t="shared" si="35"/>
        <v>2028</v>
      </c>
      <c r="E191" s="36">
        <f t="shared" si="41"/>
        <v>66377.06</v>
      </c>
      <c r="F191" s="36">
        <v>1720.35</v>
      </c>
      <c r="G191" s="37">
        <f t="shared" si="36"/>
        <v>2.5917839687385973E-2</v>
      </c>
      <c r="H191" s="36">
        <f t="shared" si="44"/>
        <v>100</v>
      </c>
      <c r="I191" s="36">
        <f t="shared" si="37"/>
        <v>68197.41</v>
      </c>
      <c r="K191" s="36">
        <f t="shared" si="45"/>
        <v>3995.6783650765751</v>
      </c>
      <c r="L191" s="37">
        <v>2.5000000000000001E-2</v>
      </c>
      <c r="M191" s="36">
        <f t="shared" si="38"/>
        <v>100</v>
      </c>
      <c r="N191" s="36">
        <f t="shared" si="42"/>
        <v>163922.81296813957</v>
      </c>
      <c r="P191" s="38">
        <f t="shared" si="43"/>
        <v>9242.0499999999993</v>
      </c>
      <c r="Q191" s="56"/>
      <c r="R191" s="40"/>
      <c r="S191" s="36">
        <f t="shared" si="46"/>
        <v>100</v>
      </c>
      <c r="T191" s="36">
        <f t="shared" si="39"/>
        <v>9342.0499999999993</v>
      </c>
      <c r="U191" s="41">
        <f>IF(SUM($U$4:U190)=1,0,IF(SUM($Q$4:Q191)&gt;39891.29,1,0))</f>
        <v>0</v>
      </c>
      <c r="V191" s="36"/>
      <c r="W191" s="36"/>
      <c r="X191" s="36"/>
      <c r="Y191" s="36"/>
      <c r="AA191" s="42"/>
      <c r="AB191" s="42"/>
      <c r="AC191" s="43"/>
      <c r="AD191" s="43"/>
      <c r="AE191" s="42"/>
      <c r="AF191" s="44"/>
      <c r="AG191" s="45"/>
      <c r="AH191" s="43"/>
      <c r="AI191" s="46"/>
      <c r="AJ191" s="47"/>
      <c r="AV191" s="32"/>
    </row>
    <row r="192" spans="2:48" ht="16.5" thickBot="1" x14ac:dyDescent="0.3">
      <c r="B192" s="15">
        <v>189</v>
      </c>
      <c r="C192" s="16">
        <f t="shared" si="40"/>
        <v>47084</v>
      </c>
      <c r="D192" s="17">
        <f t="shared" si="35"/>
        <v>2028</v>
      </c>
      <c r="E192" s="18">
        <f t="shared" si="41"/>
        <v>68197.41</v>
      </c>
      <c r="F192" s="18">
        <v>1771.96</v>
      </c>
      <c r="G192" s="19">
        <f t="shared" si="36"/>
        <v>2.5982804918837827E-2</v>
      </c>
      <c r="H192" s="18">
        <f t="shared" si="44"/>
        <v>0</v>
      </c>
      <c r="I192" s="18">
        <f t="shared" si="37"/>
        <v>69969.37000000001</v>
      </c>
      <c r="K192" s="18">
        <f t="shared" si="45"/>
        <v>4098.0703242034897</v>
      </c>
      <c r="L192" s="19">
        <v>2.5000000000000001E-2</v>
      </c>
      <c r="M192" s="18">
        <f t="shared" si="38"/>
        <v>0</v>
      </c>
      <c r="N192" s="18">
        <f t="shared" si="42"/>
        <v>168020.88329234306</v>
      </c>
      <c r="P192" s="20">
        <f t="shared" si="43"/>
        <v>9342.0499999999993</v>
      </c>
      <c r="Q192" s="59"/>
      <c r="R192" s="22"/>
      <c r="S192" s="18">
        <f t="shared" si="46"/>
        <v>0</v>
      </c>
      <c r="T192" s="18">
        <f t="shared" si="39"/>
        <v>9342.0499999999993</v>
      </c>
      <c r="U192" s="41">
        <f>IF(SUM($U$4:U191)=1,0,IF(SUM($Q$4:Q192)&gt;39891.29,1,0))</f>
        <v>0</v>
      </c>
      <c r="V192" s="23"/>
      <c r="W192" s="23"/>
      <c r="X192" s="23"/>
      <c r="Y192" s="23"/>
      <c r="AA192" s="51"/>
      <c r="AB192" s="51"/>
      <c r="AC192" s="52"/>
      <c r="AD192" s="52"/>
      <c r="AE192" s="51"/>
      <c r="AF192" s="53"/>
      <c r="AG192" s="54"/>
      <c r="AH192" s="52"/>
      <c r="AI192" s="28"/>
      <c r="AJ192" s="55"/>
      <c r="AV192" s="32"/>
    </row>
    <row r="193" spans="2:48" ht="16.5" thickBot="1" x14ac:dyDescent="0.3">
      <c r="B193" s="33">
        <v>190</v>
      </c>
      <c r="C193" s="34">
        <f t="shared" si="40"/>
        <v>47091</v>
      </c>
      <c r="D193" s="35">
        <f t="shared" si="35"/>
        <v>2028</v>
      </c>
      <c r="E193" s="36">
        <f t="shared" si="41"/>
        <v>69969.37000000001</v>
      </c>
      <c r="F193" s="36">
        <v>1825.12</v>
      </c>
      <c r="G193" s="37">
        <f t="shared" si="36"/>
        <v>2.6084556713887801E-2</v>
      </c>
      <c r="H193" s="36">
        <f t="shared" si="44"/>
        <v>100</v>
      </c>
      <c r="I193" s="36">
        <f t="shared" si="37"/>
        <v>71894.490000000005</v>
      </c>
      <c r="K193" s="36">
        <f t="shared" si="45"/>
        <v>4200.5220823085765</v>
      </c>
      <c r="L193" s="37">
        <v>2.5000000000000001E-2</v>
      </c>
      <c r="M193" s="36">
        <f t="shared" si="38"/>
        <v>100</v>
      </c>
      <c r="N193" s="36">
        <f t="shared" si="42"/>
        <v>172321.40537465163</v>
      </c>
      <c r="P193" s="38">
        <f t="shared" si="43"/>
        <v>9342.0499999999993</v>
      </c>
      <c r="Q193" s="56"/>
      <c r="R193" s="40"/>
      <c r="S193" s="36">
        <f t="shared" si="46"/>
        <v>100</v>
      </c>
      <c r="T193" s="36">
        <f t="shared" si="39"/>
        <v>9442.0499999999993</v>
      </c>
      <c r="U193" s="41">
        <f>IF(SUM($U$4:U192)=1,0,IF(SUM($Q$4:Q193)&gt;39891.29,1,0))</f>
        <v>0</v>
      </c>
      <c r="V193" s="36"/>
      <c r="W193" s="36"/>
      <c r="X193" s="36"/>
      <c r="Y193" s="36"/>
      <c r="AA193" s="42"/>
      <c r="AB193" s="42"/>
      <c r="AC193" s="43"/>
      <c r="AD193" s="43"/>
      <c r="AE193" s="42"/>
      <c r="AF193" s="44"/>
      <c r="AG193" s="45"/>
      <c r="AH193" s="43"/>
      <c r="AI193" s="46"/>
      <c r="AJ193" s="47"/>
      <c r="AV193" s="32"/>
    </row>
    <row r="194" spans="2:48" ht="16.5" thickBot="1" x14ac:dyDescent="0.3">
      <c r="B194" s="15">
        <v>191</v>
      </c>
      <c r="C194" s="16">
        <f t="shared" si="40"/>
        <v>47098</v>
      </c>
      <c r="D194" s="17">
        <f t="shared" si="35"/>
        <v>2028</v>
      </c>
      <c r="E194" s="18">
        <f t="shared" si="41"/>
        <v>71894.490000000005</v>
      </c>
      <c r="F194" s="18">
        <v>1879.87</v>
      </c>
      <c r="G194" s="19">
        <f t="shared" si="36"/>
        <v>2.6147622717679751E-2</v>
      </c>
      <c r="H194" s="18">
        <f t="shared" si="44"/>
        <v>0</v>
      </c>
      <c r="I194" s="18">
        <f t="shared" si="37"/>
        <v>73774.36</v>
      </c>
      <c r="K194" s="18">
        <f t="shared" si="45"/>
        <v>4308.0351343662905</v>
      </c>
      <c r="L194" s="19">
        <v>2.5000000000000001E-2</v>
      </c>
      <c r="M194" s="18">
        <f t="shared" si="38"/>
        <v>0</v>
      </c>
      <c r="N194" s="18">
        <f t="shared" si="42"/>
        <v>176629.44050901791</v>
      </c>
      <c r="P194" s="20">
        <f t="shared" si="43"/>
        <v>9442.0499999999993</v>
      </c>
      <c r="Q194" s="59"/>
      <c r="R194" s="22"/>
      <c r="S194" s="18">
        <f t="shared" si="46"/>
        <v>0</v>
      </c>
      <c r="T194" s="18">
        <f t="shared" si="39"/>
        <v>9442.0499999999993</v>
      </c>
      <c r="U194" s="41">
        <f>IF(SUM($U$4:U193)=1,0,IF(SUM($Q$4:Q194)&gt;39891.29,1,0))</f>
        <v>0</v>
      </c>
      <c r="V194" s="23"/>
      <c r="W194" s="23"/>
      <c r="X194" s="23"/>
      <c r="Y194" s="23"/>
      <c r="AA194" s="51"/>
      <c r="AB194" s="51"/>
      <c r="AC194" s="52"/>
      <c r="AD194" s="52"/>
      <c r="AE194" s="51"/>
      <c r="AF194" s="53"/>
      <c r="AG194" s="54"/>
      <c r="AH194" s="52"/>
      <c r="AI194" s="28"/>
      <c r="AJ194" s="55"/>
      <c r="AV194" s="32"/>
    </row>
    <row r="195" spans="2:48" ht="16.5" thickBot="1" x14ac:dyDescent="0.3">
      <c r="B195" s="33">
        <v>192</v>
      </c>
      <c r="C195" s="34">
        <f t="shared" si="40"/>
        <v>47105</v>
      </c>
      <c r="D195" s="35">
        <f t="shared" si="35"/>
        <v>2028</v>
      </c>
      <c r="E195" s="36">
        <f t="shared" si="41"/>
        <v>73774.36</v>
      </c>
      <c r="F195" s="36">
        <v>1936.27</v>
      </c>
      <c r="G195" s="37">
        <f t="shared" si="36"/>
        <v>2.6245839340388721E-2</v>
      </c>
      <c r="H195" s="36">
        <f t="shared" si="44"/>
        <v>100</v>
      </c>
      <c r="I195" s="36">
        <f t="shared" si="37"/>
        <v>75810.63</v>
      </c>
      <c r="K195" s="36">
        <f t="shared" si="45"/>
        <v>4415.7360127254478</v>
      </c>
      <c r="L195" s="37">
        <v>2.5000000000000001E-2</v>
      </c>
      <c r="M195" s="36">
        <f t="shared" si="38"/>
        <v>100</v>
      </c>
      <c r="N195" s="36">
        <f t="shared" si="42"/>
        <v>181145.17652174336</v>
      </c>
      <c r="P195" s="38">
        <f t="shared" si="43"/>
        <v>9442.0499999999993</v>
      </c>
      <c r="Q195" s="56"/>
      <c r="R195" s="40"/>
      <c r="S195" s="36">
        <f t="shared" si="46"/>
        <v>100</v>
      </c>
      <c r="T195" s="36">
        <f t="shared" si="39"/>
        <v>9542.0499999999993</v>
      </c>
      <c r="U195" s="41">
        <f>IF(SUM($U$4:U194)=1,0,IF(SUM($Q$4:Q195)&gt;39891.29,1,0))</f>
        <v>0</v>
      </c>
      <c r="V195" s="36"/>
      <c r="W195" s="36"/>
      <c r="X195" s="36"/>
      <c r="Y195" s="36"/>
      <c r="AA195" s="42"/>
      <c r="AB195" s="42"/>
      <c r="AC195" s="43"/>
      <c r="AD195" s="43"/>
      <c r="AE195" s="42"/>
      <c r="AF195" s="44"/>
      <c r="AG195" s="45"/>
      <c r="AH195" s="43"/>
      <c r="AI195" s="46"/>
      <c r="AJ195" s="47"/>
      <c r="AV195" s="32"/>
    </row>
    <row r="196" spans="2:48" ht="16.5" thickBot="1" x14ac:dyDescent="0.3">
      <c r="B196" s="72">
        <v>193</v>
      </c>
      <c r="C196" s="73">
        <f t="shared" si="40"/>
        <v>47112</v>
      </c>
      <c r="D196" s="74">
        <f t="shared" si="35"/>
        <v>2028</v>
      </c>
      <c r="E196" s="75">
        <f t="shared" si="41"/>
        <v>75810.63</v>
      </c>
      <c r="F196" s="75">
        <v>1994.36</v>
      </c>
      <c r="G196" s="76">
        <f t="shared" si="36"/>
        <v>2.6307128696859527E-2</v>
      </c>
      <c r="H196" s="75">
        <f t="shared" si="44"/>
        <v>0</v>
      </c>
      <c r="I196" s="75">
        <f t="shared" si="37"/>
        <v>77804.990000000005</v>
      </c>
      <c r="K196" s="75">
        <f t="shared" si="45"/>
        <v>4528.6294130435845</v>
      </c>
      <c r="L196" s="76">
        <v>2.5000000000000001E-2</v>
      </c>
      <c r="M196" s="75">
        <f t="shared" si="38"/>
        <v>0</v>
      </c>
      <c r="N196" s="75">
        <f t="shared" si="42"/>
        <v>185673.80593478694</v>
      </c>
      <c r="P196" s="77">
        <f t="shared" si="43"/>
        <v>9542.0499999999993</v>
      </c>
      <c r="Q196" s="78"/>
      <c r="R196" s="79"/>
      <c r="S196" s="75">
        <f t="shared" si="46"/>
        <v>0</v>
      </c>
      <c r="T196" s="75">
        <f t="shared" si="39"/>
        <v>9542.0499999999993</v>
      </c>
      <c r="U196" s="41">
        <f>IF(SUM($U$4:U195)=1,0,IF(SUM($Q$4:Q196)&gt;39891.29,1,0))</f>
        <v>0</v>
      </c>
      <c r="V196" s="80"/>
      <c r="W196" s="80"/>
      <c r="X196" s="80"/>
      <c r="Y196" s="80"/>
      <c r="AA196" s="107"/>
      <c r="AB196" s="107"/>
      <c r="AC196" s="108"/>
      <c r="AD196" s="108"/>
      <c r="AE196" s="107"/>
      <c r="AF196" s="109"/>
      <c r="AG196" s="110"/>
      <c r="AH196" s="108"/>
      <c r="AI196" s="111"/>
      <c r="AJ196" s="112"/>
      <c r="AV196" s="32"/>
    </row>
    <row r="197" spans="2:48" ht="16.5" thickBot="1" x14ac:dyDescent="0.3">
      <c r="B197" s="88">
        <v>194</v>
      </c>
      <c r="C197" s="89">
        <f t="shared" si="40"/>
        <v>47119</v>
      </c>
      <c r="D197" s="90">
        <f t="shared" ref="D197:D260" si="47">YEAR(C197)</f>
        <v>2029</v>
      </c>
      <c r="E197" s="91">
        <f t="shared" si="41"/>
        <v>77804.990000000005</v>
      </c>
      <c r="F197" s="91">
        <v>2054.19</v>
      </c>
      <c r="G197" s="92">
        <f t="shared" ref="G197:G260" si="48">F197/E197</f>
        <v>2.6401777058258087E-2</v>
      </c>
      <c r="H197" s="91">
        <f t="shared" si="44"/>
        <v>100</v>
      </c>
      <c r="I197" s="91">
        <f t="shared" ref="I197:I260" si="49">E197+F197+H197</f>
        <v>79959.180000000008</v>
      </c>
      <c r="K197" s="91">
        <f t="shared" si="45"/>
        <v>4641.8451483696736</v>
      </c>
      <c r="L197" s="92">
        <v>2.5000000000000001E-2</v>
      </c>
      <c r="M197" s="91">
        <f t="shared" ref="M197:M260" si="50">H197</f>
        <v>100</v>
      </c>
      <c r="N197" s="91">
        <f t="shared" si="42"/>
        <v>190415.65108315661</v>
      </c>
      <c r="P197" s="93">
        <f t="shared" si="43"/>
        <v>9542.0499999999993</v>
      </c>
      <c r="Q197" s="94"/>
      <c r="R197" s="95"/>
      <c r="S197" s="91">
        <f>S195</f>
        <v>100</v>
      </c>
      <c r="T197" s="91">
        <f t="shared" ref="T197:T260" si="51">P197+Q197+S197</f>
        <v>9642.0499999999993</v>
      </c>
      <c r="U197" s="41">
        <f>IF(SUM($U$4:U196)=1,0,IF(SUM($Q$4:Q197)&gt;39891.29,1,0))</f>
        <v>0</v>
      </c>
      <c r="V197" s="91"/>
      <c r="W197" s="91"/>
      <c r="X197" s="91"/>
      <c r="Y197" s="91"/>
      <c r="AA197" s="96"/>
      <c r="AB197" s="96"/>
      <c r="AC197" s="97"/>
      <c r="AD197" s="97"/>
      <c r="AE197" s="96"/>
      <c r="AF197" s="98"/>
      <c r="AG197" s="99"/>
      <c r="AH197" s="97"/>
      <c r="AI197" s="100"/>
      <c r="AJ197" s="113"/>
      <c r="AV197" s="32"/>
    </row>
    <row r="198" spans="2:48" ht="16.5" thickBot="1" x14ac:dyDescent="0.3">
      <c r="B198" s="15">
        <v>195</v>
      </c>
      <c r="C198" s="16">
        <f t="shared" ref="C198:C261" si="52">C197+7</f>
        <v>47126</v>
      </c>
      <c r="D198" s="17">
        <f t="shared" si="47"/>
        <v>2029</v>
      </c>
      <c r="E198" s="18">
        <f t="shared" ref="E198:E261" si="53">I197</f>
        <v>79959.180000000008</v>
      </c>
      <c r="F198" s="18">
        <v>2115.8200000000002</v>
      </c>
      <c r="G198" s="19">
        <f t="shared" si="48"/>
        <v>2.6461251853758378E-2</v>
      </c>
      <c r="H198" s="18">
        <f t="shared" si="44"/>
        <v>0</v>
      </c>
      <c r="I198" s="18">
        <f t="shared" si="49"/>
        <v>82075.000000000015</v>
      </c>
      <c r="K198" s="18">
        <f t="shared" si="45"/>
        <v>4760.3912770789157</v>
      </c>
      <c r="L198" s="19">
        <v>2.5000000000000001E-2</v>
      </c>
      <c r="M198" s="18">
        <f t="shared" si="50"/>
        <v>0</v>
      </c>
      <c r="N198" s="18">
        <f t="shared" ref="N198:N261" si="54">N197+K198+M198</f>
        <v>195176.04236023553</v>
      </c>
      <c r="P198" s="20">
        <f t="shared" ref="P198:P261" si="55">T197</f>
        <v>9642.0499999999993</v>
      </c>
      <c r="Q198" s="59"/>
      <c r="R198" s="22"/>
      <c r="S198" s="18">
        <f t="shared" si="46"/>
        <v>0</v>
      </c>
      <c r="T198" s="18">
        <f t="shared" si="51"/>
        <v>9642.0499999999993</v>
      </c>
      <c r="U198" s="41">
        <f>IF(SUM($U$4:U197)=1,0,IF(SUM($Q$4:Q198)&gt;39891.29,1,0))</f>
        <v>0</v>
      </c>
      <c r="V198" s="23"/>
      <c r="W198" s="23"/>
      <c r="X198" s="23"/>
      <c r="Y198" s="23"/>
      <c r="AA198" s="51"/>
      <c r="AB198" s="51"/>
      <c r="AC198" s="52"/>
      <c r="AD198" s="52"/>
      <c r="AE198" s="51"/>
      <c r="AF198" s="53"/>
      <c r="AG198" s="54"/>
      <c r="AH198" s="52"/>
      <c r="AI198" s="28"/>
      <c r="AJ198" s="55"/>
      <c r="AV198" s="32"/>
    </row>
    <row r="199" spans="2:48" ht="16.5" thickBot="1" x14ac:dyDescent="0.3">
      <c r="B199" s="33">
        <v>196</v>
      </c>
      <c r="C199" s="34">
        <f t="shared" si="52"/>
        <v>47133</v>
      </c>
      <c r="D199" s="35">
        <f t="shared" si="47"/>
        <v>2029</v>
      </c>
      <c r="E199" s="36">
        <f t="shared" si="53"/>
        <v>82075.000000000015</v>
      </c>
      <c r="F199" s="36">
        <v>2179.29</v>
      </c>
      <c r="G199" s="37">
        <f t="shared" si="48"/>
        <v>2.6552421565641176E-2</v>
      </c>
      <c r="H199" s="36">
        <f t="shared" si="44"/>
        <v>100</v>
      </c>
      <c r="I199" s="36">
        <f t="shared" si="49"/>
        <v>84354.290000000008</v>
      </c>
      <c r="K199" s="36">
        <f t="shared" si="45"/>
        <v>4879.4010590058888</v>
      </c>
      <c r="L199" s="37">
        <v>2.5000000000000001E-2</v>
      </c>
      <c r="M199" s="36">
        <f t="shared" si="50"/>
        <v>100</v>
      </c>
      <c r="N199" s="36">
        <f t="shared" si="54"/>
        <v>200155.4434192414</v>
      </c>
      <c r="P199" s="38">
        <f t="shared" si="55"/>
        <v>9642.0499999999993</v>
      </c>
      <c r="Q199" s="56"/>
      <c r="R199" s="40"/>
      <c r="S199" s="36">
        <f t="shared" si="46"/>
        <v>100</v>
      </c>
      <c r="T199" s="36">
        <f t="shared" si="51"/>
        <v>9742.0499999999993</v>
      </c>
      <c r="U199" s="41">
        <f>IF(SUM($U$4:U198)=1,0,IF(SUM($Q$4:Q199)&gt;39891.29,1,0))</f>
        <v>0</v>
      </c>
      <c r="V199" s="36"/>
      <c r="W199" s="36"/>
      <c r="X199" s="36"/>
      <c r="Y199" s="36"/>
      <c r="AA199" s="42"/>
      <c r="AB199" s="42"/>
      <c r="AC199" s="43"/>
      <c r="AD199" s="43"/>
      <c r="AE199" s="42"/>
      <c r="AF199" s="44"/>
      <c r="AG199" s="45"/>
      <c r="AH199" s="43"/>
      <c r="AI199" s="46"/>
      <c r="AJ199" s="47"/>
      <c r="AV199" s="32"/>
    </row>
    <row r="200" spans="2:48" ht="16.5" thickBot="1" x14ac:dyDescent="0.3">
      <c r="B200" s="15">
        <v>197</v>
      </c>
      <c r="C200" s="16">
        <f t="shared" si="52"/>
        <v>47140</v>
      </c>
      <c r="D200" s="17">
        <f t="shared" si="47"/>
        <v>2029</v>
      </c>
      <c r="E200" s="18">
        <f t="shared" si="53"/>
        <v>84354.290000000008</v>
      </c>
      <c r="F200" s="18">
        <v>2244.67</v>
      </c>
      <c r="G200" s="19">
        <f t="shared" si="48"/>
        <v>2.6610027776891962E-2</v>
      </c>
      <c r="H200" s="18">
        <f t="shared" ref="H200:H263" si="56">S200</f>
        <v>0</v>
      </c>
      <c r="I200" s="18">
        <f t="shared" si="49"/>
        <v>86598.96</v>
      </c>
      <c r="K200" s="18">
        <f t="shared" si="45"/>
        <v>5003.8860854810355</v>
      </c>
      <c r="L200" s="19">
        <v>2.5000000000000001E-2</v>
      </c>
      <c r="M200" s="18">
        <f t="shared" si="50"/>
        <v>0</v>
      </c>
      <c r="N200" s="18">
        <f t="shared" si="54"/>
        <v>205159.32950472244</v>
      </c>
      <c r="P200" s="20">
        <f t="shared" si="55"/>
        <v>9742.0499999999993</v>
      </c>
      <c r="Q200" s="59"/>
      <c r="R200" s="22"/>
      <c r="S200" s="18">
        <f t="shared" si="46"/>
        <v>0</v>
      </c>
      <c r="T200" s="18">
        <f t="shared" si="51"/>
        <v>9742.0499999999993</v>
      </c>
      <c r="U200" s="41">
        <f>IF(SUM($U$4:U199)=1,0,IF(SUM($Q$4:Q200)&gt;39891.29,1,0))</f>
        <v>0</v>
      </c>
      <c r="V200" s="23"/>
      <c r="W200" s="23"/>
      <c r="X200" s="23"/>
      <c r="Y200" s="23"/>
      <c r="AA200" s="51"/>
      <c r="AB200" s="51"/>
      <c r="AC200" s="52"/>
      <c r="AD200" s="52"/>
      <c r="AE200" s="51"/>
      <c r="AF200" s="53"/>
      <c r="AG200" s="54"/>
      <c r="AH200" s="52"/>
      <c r="AI200" s="28"/>
      <c r="AJ200" s="55"/>
      <c r="AV200" s="32"/>
    </row>
    <row r="201" spans="2:48" ht="16.5" thickBot="1" x14ac:dyDescent="0.3">
      <c r="B201" s="33">
        <v>198</v>
      </c>
      <c r="C201" s="34">
        <f t="shared" si="52"/>
        <v>47147</v>
      </c>
      <c r="D201" s="35">
        <f t="shared" si="47"/>
        <v>2029</v>
      </c>
      <c r="E201" s="36">
        <f t="shared" si="53"/>
        <v>86598.96</v>
      </c>
      <c r="F201" s="36">
        <v>2312.0100000000002</v>
      </c>
      <c r="G201" s="37">
        <f t="shared" si="48"/>
        <v>2.66978956791167E-2</v>
      </c>
      <c r="H201" s="36">
        <f t="shared" si="56"/>
        <v>100</v>
      </c>
      <c r="I201" s="36">
        <f t="shared" si="49"/>
        <v>89010.97</v>
      </c>
      <c r="K201" s="36">
        <f t="shared" si="45"/>
        <v>5128.9832376180611</v>
      </c>
      <c r="L201" s="37">
        <v>2.5000000000000001E-2</v>
      </c>
      <c r="M201" s="36">
        <f t="shared" si="50"/>
        <v>100</v>
      </c>
      <c r="N201" s="36">
        <f t="shared" si="54"/>
        <v>210388.31274234049</v>
      </c>
      <c r="P201" s="38">
        <f t="shared" si="55"/>
        <v>9742.0499999999993</v>
      </c>
      <c r="Q201" s="56"/>
      <c r="R201" s="40"/>
      <c r="S201" s="36">
        <f t="shared" si="46"/>
        <v>100</v>
      </c>
      <c r="T201" s="36">
        <f t="shared" si="51"/>
        <v>9842.0499999999993</v>
      </c>
      <c r="U201" s="41">
        <f>IF(SUM($U$4:U200)=1,0,IF(SUM($Q$4:Q201)&gt;39891.29,1,0))</f>
        <v>0</v>
      </c>
      <c r="V201" s="36"/>
      <c r="W201" s="36"/>
      <c r="X201" s="36"/>
      <c r="Y201" s="36"/>
      <c r="AA201" s="42"/>
      <c r="AB201" s="42"/>
      <c r="AC201" s="43"/>
      <c r="AD201" s="43"/>
      <c r="AE201" s="42"/>
      <c r="AF201" s="44"/>
      <c r="AG201" s="45"/>
      <c r="AH201" s="43"/>
      <c r="AI201" s="46"/>
      <c r="AJ201" s="47"/>
      <c r="AV201" s="32"/>
    </row>
    <row r="202" spans="2:48" ht="16.5" thickBot="1" x14ac:dyDescent="0.3">
      <c r="B202" s="15">
        <v>199</v>
      </c>
      <c r="C202" s="16">
        <f t="shared" si="52"/>
        <v>47154</v>
      </c>
      <c r="D202" s="17">
        <f t="shared" si="47"/>
        <v>2029</v>
      </c>
      <c r="E202" s="18">
        <f t="shared" si="53"/>
        <v>89010.97</v>
      </c>
      <c r="F202" s="18">
        <v>2381.37</v>
      </c>
      <c r="G202" s="19">
        <f t="shared" si="48"/>
        <v>2.6753668677018123E-2</v>
      </c>
      <c r="H202" s="18">
        <f t="shared" si="56"/>
        <v>0</v>
      </c>
      <c r="I202" s="18">
        <f t="shared" si="49"/>
        <v>91392.34</v>
      </c>
      <c r="K202" s="18">
        <f t="shared" si="45"/>
        <v>5259.7078185585124</v>
      </c>
      <c r="L202" s="19">
        <v>2.5000000000000001E-2</v>
      </c>
      <c r="M202" s="18">
        <f t="shared" si="50"/>
        <v>0</v>
      </c>
      <c r="N202" s="18">
        <f t="shared" si="54"/>
        <v>215648.02056089899</v>
      </c>
      <c r="P202" s="20">
        <f t="shared" si="55"/>
        <v>9842.0499999999993</v>
      </c>
      <c r="Q202" s="59"/>
      <c r="R202" s="22"/>
      <c r="S202" s="18">
        <f t="shared" si="46"/>
        <v>0</v>
      </c>
      <c r="T202" s="18">
        <f t="shared" si="51"/>
        <v>9842.0499999999993</v>
      </c>
      <c r="U202" s="41">
        <f>IF(SUM($U$4:U201)=1,0,IF(SUM($Q$4:Q202)&gt;39891.29,1,0))</f>
        <v>0</v>
      </c>
      <c r="V202" s="23"/>
      <c r="W202" s="23"/>
      <c r="X202" s="23"/>
      <c r="Y202" s="23"/>
      <c r="AA202" s="51"/>
      <c r="AB202" s="51"/>
      <c r="AC202" s="52"/>
      <c r="AD202" s="52"/>
      <c r="AE202" s="51"/>
      <c r="AF202" s="53"/>
      <c r="AG202" s="54"/>
      <c r="AH202" s="52"/>
      <c r="AI202" s="28"/>
      <c r="AJ202" s="55"/>
      <c r="AV202" s="32"/>
    </row>
    <row r="203" spans="2:48" ht="16.5" thickBot="1" x14ac:dyDescent="0.3">
      <c r="B203" s="33">
        <v>200</v>
      </c>
      <c r="C203" s="34">
        <f t="shared" si="52"/>
        <v>47161</v>
      </c>
      <c r="D203" s="35">
        <f t="shared" si="47"/>
        <v>2029</v>
      </c>
      <c r="E203" s="36">
        <f t="shared" si="53"/>
        <v>91392.34</v>
      </c>
      <c r="F203" s="36">
        <v>2452.81</v>
      </c>
      <c r="G203" s="37">
        <f t="shared" si="48"/>
        <v>2.6838244868224188E-2</v>
      </c>
      <c r="H203" s="36">
        <f t="shared" si="56"/>
        <v>100</v>
      </c>
      <c r="I203" s="36">
        <f t="shared" si="49"/>
        <v>93945.15</v>
      </c>
      <c r="K203" s="36">
        <f t="shared" si="45"/>
        <v>5391.2005140224755</v>
      </c>
      <c r="L203" s="37">
        <v>2.5000000000000001E-2</v>
      </c>
      <c r="M203" s="36">
        <f t="shared" si="50"/>
        <v>100</v>
      </c>
      <c r="N203" s="36">
        <f t="shared" si="54"/>
        <v>221139.22107492146</v>
      </c>
      <c r="P203" s="38">
        <f t="shared" si="55"/>
        <v>9842.0499999999993</v>
      </c>
      <c r="Q203" s="56"/>
      <c r="R203" s="40"/>
      <c r="S203" s="36">
        <f t="shared" si="46"/>
        <v>100</v>
      </c>
      <c r="T203" s="36">
        <f t="shared" si="51"/>
        <v>9942.0499999999993</v>
      </c>
      <c r="U203" s="41">
        <f>IF(SUM($U$4:U202)=1,0,IF(SUM($Q$4:Q203)&gt;39891.29,1,0))</f>
        <v>0</v>
      </c>
      <c r="V203" s="36"/>
      <c r="W203" s="36"/>
      <c r="X203" s="36"/>
      <c r="Y203" s="36"/>
      <c r="AA203" s="42"/>
      <c r="AB203" s="42"/>
      <c r="AC203" s="43"/>
      <c r="AD203" s="43"/>
      <c r="AE203" s="42"/>
      <c r="AF203" s="44"/>
      <c r="AG203" s="45"/>
      <c r="AH203" s="43"/>
      <c r="AI203" s="46"/>
      <c r="AJ203" s="47"/>
      <c r="AV203" s="32"/>
    </row>
    <row r="204" spans="2:48" ht="16.5" thickBot="1" x14ac:dyDescent="0.3">
      <c r="B204" s="15">
        <v>201</v>
      </c>
      <c r="C204" s="16">
        <f t="shared" si="52"/>
        <v>47168</v>
      </c>
      <c r="D204" s="17">
        <f t="shared" si="47"/>
        <v>2029</v>
      </c>
      <c r="E204" s="18">
        <f t="shared" si="53"/>
        <v>93945.15</v>
      </c>
      <c r="F204" s="18">
        <v>2526.39</v>
      </c>
      <c r="G204" s="19">
        <f t="shared" si="48"/>
        <v>2.6892181235540099E-2</v>
      </c>
      <c r="H204" s="18">
        <f t="shared" si="56"/>
        <v>0</v>
      </c>
      <c r="I204" s="18">
        <f t="shared" si="49"/>
        <v>96471.54</v>
      </c>
      <c r="K204" s="18">
        <f t="shared" si="45"/>
        <v>5528.480526873037</v>
      </c>
      <c r="L204" s="19">
        <v>2.5000000000000001E-2</v>
      </c>
      <c r="M204" s="18">
        <f t="shared" si="50"/>
        <v>0</v>
      </c>
      <c r="N204" s="18">
        <f t="shared" si="54"/>
        <v>226667.70160179448</v>
      </c>
      <c r="P204" s="20">
        <f t="shared" si="55"/>
        <v>9942.0499999999993</v>
      </c>
      <c r="Q204" s="59"/>
      <c r="R204" s="22"/>
      <c r="S204" s="18">
        <f t="shared" si="46"/>
        <v>0</v>
      </c>
      <c r="T204" s="18">
        <f t="shared" si="51"/>
        <v>9942.0499999999993</v>
      </c>
      <c r="U204" s="41">
        <f>IF(SUM($U$4:U203)=1,0,IF(SUM($Q$4:Q204)&gt;39891.29,1,0))</f>
        <v>0</v>
      </c>
      <c r="V204" s="23"/>
      <c r="W204" s="23"/>
      <c r="X204" s="23"/>
      <c r="Y204" s="23"/>
      <c r="AA204" s="51"/>
      <c r="AB204" s="51"/>
      <c r="AC204" s="52"/>
      <c r="AD204" s="52"/>
      <c r="AE204" s="51"/>
      <c r="AF204" s="53"/>
      <c r="AG204" s="54"/>
      <c r="AH204" s="52"/>
      <c r="AI204" s="28"/>
      <c r="AJ204" s="55"/>
      <c r="AV204" s="32"/>
    </row>
    <row r="205" spans="2:48" ht="16.5" thickBot="1" x14ac:dyDescent="0.3">
      <c r="B205" s="33">
        <v>202</v>
      </c>
      <c r="C205" s="34">
        <f t="shared" si="52"/>
        <v>47175</v>
      </c>
      <c r="D205" s="35">
        <f t="shared" si="47"/>
        <v>2029</v>
      </c>
      <c r="E205" s="36">
        <f t="shared" si="53"/>
        <v>96471.54</v>
      </c>
      <c r="F205" s="36">
        <v>2602.19</v>
      </c>
      <c r="G205" s="37">
        <f t="shared" si="48"/>
        <v>2.6973654613578264E-2</v>
      </c>
      <c r="H205" s="36">
        <f t="shared" si="56"/>
        <v>100</v>
      </c>
      <c r="I205" s="36">
        <f t="shared" si="49"/>
        <v>99173.73</v>
      </c>
      <c r="K205" s="36">
        <f t="shared" si="45"/>
        <v>5666.6925400448627</v>
      </c>
      <c r="L205" s="37">
        <v>2.5000000000000001E-2</v>
      </c>
      <c r="M205" s="36">
        <f t="shared" si="50"/>
        <v>100</v>
      </c>
      <c r="N205" s="36">
        <f t="shared" si="54"/>
        <v>232434.39414183935</v>
      </c>
      <c r="P205" s="38">
        <f t="shared" si="55"/>
        <v>9942.0499999999993</v>
      </c>
      <c r="Q205" s="56"/>
      <c r="R205" s="40"/>
      <c r="S205" s="36">
        <f t="shared" si="46"/>
        <v>100</v>
      </c>
      <c r="T205" s="36">
        <f t="shared" si="51"/>
        <v>10042.049999999999</v>
      </c>
      <c r="U205" s="41">
        <f>IF(SUM($U$4:U204)=1,0,IF(SUM($Q$4:Q205)&gt;39891.29,1,0))</f>
        <v>0</v>
      </c>
      <c r="V205" s="36"/>
      <c r="W205" s="36"/>
      <c r="X205" s="36"/>
      <c r="Y205" s="36"/>
      <c r="AA205" s="42"/>
      <c r="AB205" s="42"/>
      <c r="AC205" s="43"/>
      <c r="AD205" s="43"/>
      <c r="AE205" s="42"/>
      <c r="AF205" s="44"/>
      <c r="AG205" s="45"/>
      <c r="AH205" s="43"/>
      <c r="AI205" s="46"/>
      <c r="AJ205" s="47"/>
      <c r="AL205" s="66">
        <f t="shared" ref="AL205:AL268" si="57">F205/E205</f>
        <v>2.6973654613578264E-2</v>
      </c>
      <c r="AV205" s="32"/>
    </row>
    <row r="206" spans="2:48" ht="16.5" thickBot="1" x14ac:dyDescent="0.3">
      <c r="B206" s="15">
        <v>203</v>
      </c>
      <c r="C206" s="16">
        <f t="shared" si="52"/>
        <v>47182</v>
      </c>
      <c r="D206" s="17">
        <f t="shared" si="47"/>
        <v>2029</v>
      </c>
      <c r="E206" s="18">
        <f t="shared" si="53"/>
        <v>99173.73</v>
      </c>
      <c r="F206" s="18">
        <v>2680.25</v>
      </c>
      <c r="G206" s="19">
        <f t="shared" si="48"/>
        <v>2.7025806128296276E-2</v>
      </c>
      <c r="H206" s="18">
        <f t="shared" si="56"/>
        <v>0</v>
      </c>
      <c r="I206" s="18">
        <f t="shared" si="49"/>
        <v>101853.98</v>
      </c>
      <c r="K206" s="18">
        <f t="shared" si="45"/>
        <v>5810.8598535459842</v>
      </c>
      <c r="L206" s="19">
        <v>2.5000000000000001E-2</v>
      </c>
      <c r="M206" s="18">
        <f t="shared" si="50"/>
        <v>0</v>
      </c>
      <c r="N206" s="18">
        <f t="shared" si="54"/>
        <v>238245.25399538534</v>
      </c>
      <c r="P206" s="20">
        <f t="shared" si="55"/>
        <v>10042.049999999999</v>
      </c>
      <c r="Q206" s="59"/>
      <c r="R206" s="22"/>
      <c r="S206" s="18">
        <f t="shared" si="46"/>
        <v>0</v>
      </c>
      <c r="T206" s="18">
        <f t="shared" si="51"/>
        <v>10042.049999999999</v>
      </c>
      <c r="U206" s="41">
        <f>IF(SUM($U$4:U205)=1,0,IF(SUM($Q$4:Q206)&gt;39891.29,1,0))</f>
        <v>0</v>
      </c>
      <c r="V206" s="23"/>
      <c r="W206" s="23"/>
      <c r="X206" s="23"/>
      <c r="Y206" s="23"/>
      <c r="AA206" s="51"/>
      <c r="AB206" s="51"/>
      <c r="AC206" s="52"/>
      <c r="AD206" s="52"/>
      <c r="AE206" s="51"/>
      <c r="AF206" s="53"/>
      <c r="AG206" s="54"/>
      <c r="AH206" s="52"/>
      <c r="AI206" s="28"/>
      <c r="AJ206" s="55"/>
      <c r="AL206" s="66">
        <f t="shared" si="57"/>
        <v>2.7025806128296276E-2</v>
      </c>
      <c r="AV206" s="32"/>
    </row>
    <row r="207" spans="2:48" ht="16.5" thickBot="1" x14ac:dyDescent="0.3">
      <c r="B207" s="33">
        <v>204</v>
      </c>
      <c r="C207" s="34">
        <f t="shared" si="52"/>
        <v>47189</v>
      </c>
      <c r="D207" s="35">
        <f t="shared" si="47"/>
        <v>2029</v>
      </c>
      <c r="E207" s="36">
        <f t="shared" si="53"/>
        <v>101853.98</v>
      </c>
      <c r="F207" s="36">
        <v>2760.66</v>
      </c>
      <c r="G207" s="37">
        <f t="shared" si="48"/>
        <v>2.710409549042659E-2</v>
      </c>
      <c r="H207" s="36">
        <f t="shared" si="56"/>
        <v>100</v>
      </c>
      <c r="I207" s="36">
        <f t="shared" si="49"/>
        <v>104714.64</v>
      </c>
      <c r="K207" s="36">
        <f t="shared" si="45"/>
        <v>5956.1313498846339</v>
      </c>
      <c r="L207" s="37">
        <v>2.5000000000000001E-2</v>
      </c>
      <c r="M207" s="36">
        <f t="shared" si="50"/>
        <v>100</v>
      </c>
      <c r="N207" s="36">
        <f t="shared" si="54"/>
        <v>244301.38534526998</v>
      </c>
      <c r="P207" s="38">
        <f t="shared" si="55"/>
        <v>10042.049999999999</v>
      </c>
      <c r="Q207" s="56"/>
      <c r="R207" s="40"/>
      <c r="S207" s="36">
        <f t="shared" si="46"/>
        <v>100</v>
      </c>
      <c r="T207" s="36">
        <f t="shared" si="51"/>
        <v>10142.049999999999</v>
      </c>
      <c r="U207" s="41">
        <f>IF(SUM($U$4:U206)=1,0,IF(SUM($Q$4:Q207)&gt;39891.29,1,0))</f>
        <v>0</v>
      </c>
      <c r="V207" s="36"/>
      <c r="W207" s="36"/>
      <c r="X207" s="36"/>
      <c r="Y207" s="36"/>
      <c r="AA207" s="42"/>
      <c r="AB207" s="42"/>
      <c r="AC207" s="43"/>
      <c r="AD207" s="43"/>
      <c r="AE207" s="42"/>
      <c r="AF207" s="44"/>
      <c r="AG207" s="45"/>
      <c r="AH207" s="43"/>
      <c r="AI207" s="46"/>
      <c r="AJ207" s="47"/>
      <c r="AL207" s="66">
        <f t="shared" si="57"/>
        <v>2.710409549042659E-2</v>
      </c>
      <c r="AM207" s="32"/>
      <c r="AV207" s="32"/>
    </row>
    <row r="208" spans="2:48" ht="16.5" thickBot="1" x14ac:dyDescent="0.3">
      <c r="B208" s="15">
        <v>205</v>
      </c>
      <c r="C208" s="16">
        <f t="shared" si="52"/>
        <v>47196</v>
      </c>
      <c r="D208" s="17">
        <f t="shared" si="47"/>
        <v>2029</v>
      </c>
      <c r="E208" s="18">
        <f t="shared" si="53"/>
        <v>104714.64</v>
      </c>
      <c r="F208" s="18">
        <v>2843.48</v>
      </c>
      <c r="G208" s="19">
        <f t="shared" si="48"/>
        <v>2.7154560241051298E-2</v>
      </c>
      <c r="H208" s="18">
        <f t="shared" si="56"/>
        <v>0</v>
      </c>
      <c r="I208" s="18">
        <f t="shared" si="49"/>
        <v>107558.12</v>
      </c>
      <c r="K208" s="18">
        <f t="shared" si="45"/>
        <v>6107.5346336317498</v>
      </c>
      <c r="L208" s="19">
        <v>2.5000000000000001E-2</v>
      </c>
      <c r="M208" s="18">
        <f t="shared" si="50"/>
        <v>0</v>
      </c>
      <c r="N208" s="18">
        <f t="shared" si="54"/>
        <v>250408.91997890174</v>
      </c>
      <c r="P208" s="20">
        <f t="shared" si="55"/>
        <v>10142.049999999999</v>
      </c>
      <c r="Q208" s="59"/>
      <c r="R208" s="22"/>
      <c r="S208" s="18">
        <f t="shared" si="46"/>
        <v>0</v>
      </c>
      <c r="T208" s="18">
        <f t="shared" si="51"/>
        <v>10142.049999999999</v>
      </c>
      <c r="U208" s="41">
        <f>IF(SUM($U$4:U207)=1,0,IF(SUM($Q$4:Q208)&gt;39891.29,1,0))</f>
        <v>0</v>
      </c>
      <c r="V208" s="23"/>
      <c r="W208" s="23"/>
      <c r="X208" s="23"/>
      <c r="Y208" s="23"/>
      <c r="AA208" s="51"/>
      <c r="AB208" s="51"/>
      <c r="AC208" s="52"/>
      <c r="AD208" s="52"/>
      <c r="AE208" s="51"/>
      <c r="AF208" s="53"/>
      <c r="AG208" s="54"/>
      <c r="AH208" s="52"/>
      <c r="AI208" s="28"/>
      <c r="AJ208" s="55"/>
      <c r="AL208" s="66">
        <f t="shared" si="57"/>
        <v>2.7154560241051298E-2</v>
      </c>
      <c r="AV208" s="32"/>
    </row>
    <row r="209" spans="2:48" ht="16.5" thickBot="1" x14ac:dyDescent="0.3">
      <c r="B209" s="33">
        <v>206</v>
      </c>
      <c r="C209" s="34">
        <f t="shared" si="52"/>
        <v>47203</v>
      </c>
      <c r="D209" s="35">
        <f t="shared" si="47"/>
        <v>2029</v>
      </c>
      <c r="E209" s="36">
        <f t="shared" si="53"/>
        <v>107558.12</v>
      </c>
      <c r="F209" s="36">
        <v>2928.78</v>
      </c>
      <c r="G209" s="37">
        <f t="shared" si="48"/>
        <v>2.7229743323888521E-2</v>
      </c>
      <c r="H209" s="36">
        <f t="shared" si="56"/>
        <v>100</v>
      </c>
      <c r="I209" s="36">
        <f t="shared" si="49"/>
        <v>110586.9</v>
      </c>
      <c r="K209" s="36">
        <f t="shared" si="45"/>
        <v>6260.222999472544</v>
      </c>
      <c r="L209" s="37">
        <v>2.5000000000000001E-2</v>
      </c>
      <c r="M209" s="36">
        <f t="shared" si="50"/>
        <v>100</v>
      </c>
      <c r="N209" s="36">
        <f t="shared" si="54"/>
        <v>256769.14297837429</v>
      </c>
      <c r="P209" s="38">
        <f t="shared" si="55"/>
        <v>10142.049999999999</v>
      </c>
      <c r="Q209" s="56"/>
      <c r="R209" s="40"/>
      <c r="S209" s="36">
        <f t="shared" si="46"/>
        <v>100</v>
      </c>
      <c r="T209" s="36">
        <f t="shared" si="51"/>
        <v>10242.049999999999</v>
      </c>
      <c r="U209" s="41">
        <f>IF(SUM($U$4:U208)=1,0,IF(SUM($Q$4:Q209)&gt;39891.29,1,0))</f>
        <v>0</v>
      </c>
      <c r="V209" s="36"/>
      <c r="W209" s="36"/>
      <c r="X209" s="36"/>
      <c r="Y209" s="36"/>
      <c r="AA209" s="42"/>
      <c r="AB209" s="42"/>
      <c r="AC209" s="43"/>
      <c r="AD209" s="43"/>
      <c r="AE209" s="42"/>
      <c r="AF209" s="44"/>
      <c r="AG209" s="45"/>
      <c r="AH209" s="43"/>
      <c r="AI209" s="46"/>
      <c r="AJ209" s="47"/>
      <c r="AL209" s="66">
        <f t="shared" si="57"/>
        <v>2.7229743323888521E-2</v>
      </c>
      <c r="AV209" s="32"/>
    </row>
    <row r="210" spans="2:48" ht="16.5" thickBot="1" x14ac:dyDescent="0.3">
      <c r="B210" s="15">
        <v>207</v>
      </c>
      <c r="C210" s="16">
        <f t="shared" si="52"/>
        <v>47210</v>
      </c>
      <c r="D210" s="17">
        <f t="shared" si="47"/>
        <v>2029</v>
      </c>
      <c r="E210" s="18">
        <f t="shared" si="53"/>
        <v>110586.9</v>
      </c>
      <c r="F210" s="18">
        <v>3016.65</v>
      </c>
      <c r="G210" s="19">
        <f t="shared" si="48"/>
        <v>2.7278547459057088E-2</v>
      </c>
      <c r="H210" s="18">
        <f t="shared" si="56"/>
        <v>0</v>
      </c>
      <c r="I210" s="18">
        <f t="shared" si="49"/>
        <v>113603.54999999999</v>
      </c>
      <c r="K210" s="18">
        <f t="shared" si="45"/>
        <v>6419.2285744593573</v>
      </c>
      <c r="L210" s="19">
        <v>2.5000000000000001E-2</v>
      </c>
      <c r="M210" s="18">
        <f t="shared" si="50"/>
        <v>0</v>
      </c>
      <c r="N210" s="18">
        <f t="shared" si="54"/>
        <v>263188.37155283365</v>
      </c>
      <c r="P210" s="20">
        <f t="shared" si="55"/>
        <v>10242.049999999999</v>
      </c>
      <c r="Q210" s="59"/>
      <c r="R210" s="22"/>
      <c r="S210" s="18">
        <f t="shared" si="46"/>
        <v>0</v>
      </c>
      <c r="T210" s="18">
        <f t="shared" si="51"/>
        <v>10242.049999999999</v>
      </c>
      <c r="U210" s="41">
        <f>IF(SUM($U$4:U209)=1,0,IF(SUM($Q$4:Q210)&gt;39891.29,1,0))</f>
        <v>0</v>
      </c>
      <c r="V210" s="23"/>
      <c r="W210" s="23"/>
      <c r="X210" s="23"/>
      <c r="Y210" s="23"/>
      <c r="AA210" s="51"/>
      <c r="AB210" s="51"/>
      <c r="AC210" s="52"/>
      <c r="AD210" s="52"/>
      <c r="AE210" s="51"/>
      <c r="AF210" s="53"/>
      <c r="AG210" s="54"/>
      <c r="AH210" s="52"/>
      <c r="AI210" s="28"/>
      <c r="AJ210" s="55"/>
      <c r="AL210" s="66">
        <f t="shared" si="57"/>
        <v>2.7278547459057088E-2</v>
      </c>
      <c r="AV210" s="32"/>
    </row>
    <row r="211" spans="2:48" ht="16.5" thickBot="1" x14ac:dyDescent="0.3">
      <c r="B211" s="33">
        <v>208</v>
      </c>
      <c r="C211" s="34">
        <f t="shared" si="52"/>
        <v>47217</v>
      </c>
      <c r="D211" s="35">
        <f t="shared" si="47"/>
        <v>2029</v>
      </c>
      <c r="E211" s="36">
        <f t="shared" si="53"/>
        <v>113603.54999999999</v>
      </c>
      <c r="F211" s="36">
        <v>3107.15</v>
      </c>
      <c r="G211" s="37">
        <f t="shared" si="48"/>
        <v>2.735081782215433E-2</v>
      </c>
      <c r="H211" s="36">
        <f t="shared" si="56"/>
        <v>100</v>
      </c>
      <c r="I211" s="36">
        <f t="shared" si="49"/>
        <v>116810.69999999998</v>
      </c>
      <c r="K211" s="36">
        <f t="shared" si="45"/>
        <v>6579.7092888208417</v>
      </c>
      <c r="L211" s="37">
        <v>2.5000000000000001E-2</v>
      </c>
      <c r="M211" s="36">
        <f t="shared" si="50"/>
        <v>100</v>
      </c>
      <c r="N211" s="36">
        <f t="shared" si="54"/>
        <v>269868.0808416545</v>
      </c>
      <c r="P211" s="38">
        <f t="shared" si="55"/>
        <v>10242.049999999999</v>
      </c>
      <c r="Q211" s="56"/>
      <c r="R211" s="40"/>
      <c r="S211" s="36">
        <f t="shared" si="46"/>
        <v>100</v>
      </c>
      <c r="T211" s="36">
        <f t="shared" si="51"/>
        <v>10342.049999999999</v>
      </c>
      <c r="U211" s="41">
        <f>IF(SUM($U$4:U210)=1,0,IF(SUM($Q$4:Q211)&gt;39891.29,1,0))</f>
        <v>0</v>
      </c>
      <c r="V211" s="36"/>
      <c r="W211" s="36"/>
      <c r="X211" s="36"/>
      <c r="Y211" s="36"/>
      <c r="AA211" s="42"/>
      <c r="AB211" s="42"/>
      <c r="AC211" s="43"/>
      <c r="AD211" s="43"/>
      <c r="AE211" s="42"/>
      <c r="AF211" s="44"/>
      <c r="AG211" s="45"/>
      <c r="AH211" s="43"/>
      <c r="AI211" s="46"/>
      <c r="AJ211" s="47"/>
      <c r="AL211" s="66">
        <f t="shared" si="57"/>
        <v>2.735081782215433E-2</v>
      </c>
      <c r="AV211" s="32"/>
    </row>
    <row r="212" spans="2:48" ht="16.5" thickBot="1" x14ac:dyDescent="0.3">
      <c r="B212" s="15">
        <v>209</v>
      </c>
      <c r="C212" s="16">
        <f t="shared" si="52"/>
        <v>47224</v>
      </c>
      <c r="D212" s="17">
        <f t="shared" si="47"/>
        <v>2029</v>
      </c>
      <c r="E212" s="18">
        <f t="shared" si="53"/>
        <v>116810.69999999998</v>
      </c>
      <c r="F212" s="18">
        <v>3200.36</v>
      </c>
      <c r="G212" s="19">
        <f t="shared" si="48"/>
        <v>2.7397832561571848E-2</v>
      </c>
      <c r="H212" s="18">
        <f t="shared" si="56"/>
        <v>0</v>
      </c>
      <c r="I212" s="18">
        <f t="shared" si="49"/>
        <v>120011.05999999998</v>
      </c>
      <c r="K212" s="18">
        <f t="shared" si="45"/>
        <v>6746.702021041363</v>
      </c>
      <c r="L212" s="19">
        <v>2.5000000000000001E-2</v>
      </c>
      <c r="M212" s="18">
        <f t="shared" si="50"/>
        <v>0</v>
      </c>
      <c r="N212" s="18">
        <f t="shared" si="54"/>
        <v>276614.78286269587</v>
      </c>
      <c r="P212" s="20">
        <f t="shared" si="55"/>
        <v>10342.049999999999</v>
      </c>
      <c r="Q212" s="59"/>
      <c r="R212" s="22"/>
      <c r="S212" s="18">
        <f t="shared" si="46"/>
        <v>0</v>
      </c>
      <c r="T212" s="18">
        <f t="shared" si="51"/>
        <v>10342.049999999999</v>
      </c>
      <c r="U212" s="41">
        <f>IF(SUM($U$4:U211)=1,0,IF(SUM($Q$4:Q212)&gt;39891.29,1,0))</f>
        <v>0</v>
      </c>
      <c r="V212" s="23"/>
      <c r="W212" s="23"/>
      <c r="X212" s="23"/>
      <c r="Y212" s="23"/>
      <c r="AA212" s="51"/>
      <c r="AB212" s="51"/>
      <c r="AC212" s="52"/>
      <c r="AD212" s="52"/>
      <c r="AE212" s="51"/>
      <c r="AF212" s="53"/>
      <c r="AG212" s="54"/>
      <c r="AH212" s="52"/>
      <c r="AI212" s="28"/>
      <c r="AJ212" s="55"/>
      <c r="AL212" s="66">
        <f t="shared" si="57"/>
        <v>2.7397832561571848E-2</v>
      </c>
      <c r="AV212" s="32"/>
    </row>
    <row r="213" spans="2:48" ht="16.5" thickBot="1" x14ac:dyDescent="0.3">
      <c r="B213" s="33">
        <v>210</v>
      </c>
      <c r="C213" s="34">
        <f t="shared" si="52"/>
        <v>47231</v>
      </c>
      <c r="D213" s="35">
        <f t="shared" si="47"/>
        <v>2029</v>
      </c>
      <c r="E213" s="36">
        <f t="shared" si="53"/>
        <v>120011.05999999998</v>
      </c>
      <c r="F213" s="36">
        <v>3296.37</v>
      </c>
      <c r="G213" s="37">
        <f t="shared" si="48"/>
        <v>2.7467218438033965E-2</v>
      </c>
      <c r="H213" s="36">
        <f t="shared" si="56"/>
        <v>100</v>
      </c>
      <c r="I213" s="36">
        <f t="shared" si="49"/>
        <v>123407.42999999998</v>
      </c>
      <c r="K213" s="36">
        <f t="shared" si="45"/>
        <v>6915.3695715673966</v>
      </c>
      <c r="L213" s="37">
        <v>2.5000000000000001E-2</v>
      </c>
      <c r="M213" s="36">
        <f t="shared" si="50"/>
        <v>100</v>
      </c>
      <c r="N213" s="36">
        <f t="shared" si="54"/>
        <v>283630.15243426326</v>
      </c>
      <c r="P213" s="38">
        <f t="shared" si="55"/>
        <v>10342.049999999999</v>
      </c>
      <c r="Q213" s="56"/>
      <c r="R213" s="40"/>
      <c r="S213" s="36">
        <f t="shared" si="46"/>
        <v>100</v>
      </c>
      <c r="T213" s="36">
        <f t="shared" si="51"/>
        <v>10442.049999999999</v>
      </c>
      <c r="U213" s="41">
        <f>IF(SUM($U$4:U212)=1,0,IF(SUM($Q$4:Q213)&gt;39891.29,1,0))</f>
        <v>0</v>
      </c>
      <c r="V213" s="36"/>
      <c r="W213" s="36"/>
      <c r="X213" s="36"/>
      <c r="Y213" s="36"/>
      <c r="AA213" s="42"/>
      <c r="AB213" s="42"/>
      <c r="AC213" s="43"/>
      <c r="AD213" s="43"/>
      <c r="AE213" s="42"/>
      <c r="AF213" s="44"/>
      <c r="AG213" s="45"/>
      <c r="AH213" s="43"/>
      <c r="AI213" s="46"/>
      <c r="AJ213" s="47"/>
      <c r="AL213" s="66">
        <f t="shared" si="57"/>
        <v>2.7467218438033965E-2</v>
      </c>
      <c r="AV213" s="32"/>
    </row>
    <row r="214" spans="2:48" ht="16.5" thickBot="1" x14ac:dyDescent="0.3">
      <c r="B214" s="15">
        <v>211</v>
      </c>
      <c r="C214" s="16">
        <f t="shared" si="52"/>
        <v>47238</v>
      </c>
      <c r="D214" s="17">
        <f t="shared" si="47"/>
        <v>2029</v>
      </c>
      <c r="E214" s="18">
        <f t="shared" si="53"/>
        <v>123407.42999999998</v>
      </c>
      <c r="F214" s="18">
        <v>3395.26</v>
      </c>
      <c r="G214" s="19">
        <f t="shared" si="48"/>
        <v>2.7512606007596144E-2</v>
      </c>
      <c r="H214" s="18">
        <f t="shared" si="56"/>
        <v>0</v>
      </c>
      <c r="I214" s="18">
        <f t="shared" si="49"/>
        <v>126802.68999999997</v>
      </c>
      <c r="K214" s="18">
        <f t="shared" si="45"/>
        <v>7090.7538108565823</v>
      </c>
      <c r="L214" s="19">
        <v>2.5000000000000001E-2</v>
      </c>
      <c r="M214" s="18">
        <f t="shared" si="50"/>
        <v>0</v>
      </c>
      <c r="N214" s="18">
        <f t="shared" si="54"/>
        <v>290720.90624511987</v>
      </c>
      <c r="P214" s="20">
        <f t="shared" si="55"/>
        <v>10442.049999999999</v>
      </c>
      <c r="Q214" s="59"/>
      <c r="R214" s="22"/>
      <c r="S214" s="18">
        <f t="shared" si="46"/>
        <v>0</v>
      </c>
      <c r="T214" s="18">
        <f t="shared" si="51"/>
        <v>10442.049999999999</v>
      </c>
      <c r="U214" s="41">
        <f>IF(SUM($U$4:U213)=1,0,IF(SUM($Q$4:Q214)&gt;39891.29,1,0))</f>
        <v>0</v>
      </c>
      <c r="V214" s="23"/>
      <c r="W214" s="23"/>
      <c r="X214" s="23"/>
      <c r="Y214" s="23"/>
      <c r="AA214" s="51"/>
      <c r="AB214" s="51"/>
      <c r="AC214" s="52"/>
      <c r="AD214" s="52"/>
      <c r="AE214" s="51"/>
      <c r="AF214" s="53"/>
      <c r="AG214" s="54"/>
      <c r="AH214" s="52"/>
      <c r="AI214" s="28"/>
      <c r="AJ214" s="55"/>
      <c r="AL214" s="66">
        <f t="shared" si="57"/>
        <v>2.7512606007596144E-2</v>
      </c>
      <c r="AV214" s="32"/>
    </row>
    <row r="215" spans="2:48" ht="16.5" thickBot="1" x14ac:dyDescent="0.3">
      <c r="B215" s="33">
        <v>212</v>
      </c>
      <c r="C215" s="34">
        <f t="shared" si="52"/>
        <v>47245</v>
      </c>
      <c r="D215" s="35">
        <f t="shared" si="47"/>
        <v>2029</v>
      </c>
      <c r="E215" s="36">
        <f t="shared" si="53"/>
        <v>126802.68999999997</v>
      </c>
      <c r="F215" s="36">
        <v>3497.12</v>
      </c>
      <c r="G215" s="37">
        <f t="shared" si="48"/>
        <v>2.757922564576509E-2</v>
      </c>
      <c r="H215" s="36">
        <f t="shared" si="56"/>
        <v>100</v>
      </c>
      <c r="I215" s="36">
        <f t="shared" si="49"/>
        <v>130399.80999999997</v>
      </c>
      <c r="K215" s="36">
        <f t="shared" si="45"/>
        <v>7268.0226561279969</v>
      </c>
      <c r="L215" s="37">
        <v>2.5000000000000001E-2</v>
      </c>
      <c r="M215" s="36">
        <f t="shared" si="50"/>
        <v>100</v>
      </c>
      <c r="N215" s="36">
        <f t="shared" si="54"/>
        <v>298088.92890124785</v>
      </c>
      <c r="P215" s="38">
        <f t="shared" si="55"/>
        <v>10442.049999999999</v>
      </c>
      <c r="Q215" s="56"/>
      <c r="R215" s="40"/>
      <c r="S215" s="36">
        <f t="shared" si="46"/>
        <v>100</v>
      </c>
      <c r="T215" s="36">
        <f t="shared" si="51"/>
        <v>10542.05</v>
      </c>
      <c r="U215" s="41">
        <f>IF(SUM($U$4:U214)=1,0,IF(SUM($Q$4:Q215)&gt;39891.29,1,0))</f>
        <v>0</v>
      </c>
      <c r="V215" s="36"/>
      <c r="W215" s="36"/>
      <c r="X215" s="36"/>
      <c r="Y215" s="36"/>
      <c r="AA215" s="42"/>
      <c r="AB215" s="42"/>
      <c r="AC215" s="43"/>
      <c r="AD215" s="43"/>
      <c r="AE215" s="42"/>
      <c r="AF215" s="44"/>
      <c r="AG215" s="45"/>
      <c r="AH215" s="43"/>
      <c r="AI215" s="46"/>
      <c r="AJ215" s="47"/>
      <c r="AL215" s="66">
        <f t="shared" si="57"/>
        <v>2.757922564576509E-2</v>
      </c>
      <c r="AV215" s="32"/>
    </row>
    <row r="216" spans="2:48" ht="16.5" thickBot="1" x14ac:dyDescent="0.3">
      <c r="B216" s="15">
        <v>213</v>
      </c>
      <c r="C216" s="16">
        <f t="shared" si="52"/>
        <v>47252</v>
      </c>
      <c r="D216" s="17">
        <f t="shared" si="47"/>
        <v>2029</v>
      </c>
      <c r="E216" s="18">
        <f t="shared" si="53"/>
        <v>130399.80999999997</v>
      </c>
      <c r="F216" s="18">
        <v>3602.03</v>
      </c>
      <c r="G216" s="19">
        <f t="shared" si="48"/>
        <v>2.7622969696044809E-2</v>
      </c>
      <c r="H216" s="18">
        <f t="shared" si="56"/>
        <v>0</v>
      </c>
      <c r="I216" s="18">
        <f t="shared" si="49"/>
        <v>134001.83999999997</v>
      </c>
      <c r="K216" s="18">
        <f t="shared" si="45"/>
        <v>7452.2232225311964</v>
      </c>
      <c r="L216" s="19">
        <v>2.5000000000000001E-2</v>
      </c>
      <c r="M216" s="18">
        <f t="shared" si="50"/>
        <v>0</v>
      </c>
      <c r="N216" s="18">
        <f t="shared" si="54"/>
        <v>305541.15212377906</v>
      </c>
      <c r="P216" s="20">
        <f t="shared" si="55"/>
        <v>10542.05</v>
      </c>
      <c r="Q216" s="59"/>
      <c r="R216" s="22"/>
      <c r="S216" s="18">
        <f t="shared" si="46"/>
        <v>0</v>
      </c>
      <c r="T216" s="18">
        <f t="shared" si="51"/>
        <v>10542.05</v>
      </c>
      <c r="U216" s="41">
        <f>IF(SUM($U$4:U215)=1,0,IF(SUM($Q$4:Q216)&gt;39891.29,1,0))</f>
        <v>0</v>
      </c>
      <c r="V216" s="23"/>
      <c r="W216" s="23"/>
      <c r="X216" s="23"/>
      <c r="Y216" s="23"/>
      <c r="AA216" s="51"/>
      <c r="AB216" s="51"/>
      <c r="AC216" s="52"/>
      <c r="AD216" s="52"/>
      <c r="AE216" s="51"/>
      <c r="AF216" s="53"/>
      <c r="AG216" s="54"/>
      <c r="AH216" s="52"/>
      <c r="AI216" s="28"/>
      <c r="AJ216" s="55"/>
      <c r="AL216" s="66">
        <f t="shared" si="57"/>
        <v>2.7622969696044809E-2</v>
      </c>
      <c r="AV216" s="32"/>
    </row>
    <row r="217" spans="2:48" ht="16.5" thickBot="1" x14ac:dyDescent="0.3">
      <c r="B217" s="33">
        <v>214</v>
      </c>
      <c r="C217" s="34">
        <f t="shared" si="52"/>
        <v>47259</v>
      </c>
      <c r="D217" s="35">
        <f t="shared" si="47"/>
        <v>2029</v>
      </c>
      <c r="E217" s="36">
        <f t="shared" si="53"/>
        <v>134001.83999999997</v>
      </c>
      <c r="F217" s="36">
        <v>3710.09</v>
      </c>
      <c r="G217" s="37">
        <f t="shared" si="48"/>
        <v>2.7686858628209889E-2</v>
      </c>
      <c r="H217" s="36">
        <f t="shared" si="56"/>
        <v>100</v>
      </c>
      <c r="I217" s="36">
        <f t="shared" si="49"/>
        <v>137811.92999999996</v>
      </c>
      <c r="K217" s="36">
        <f t="shared" si="45"/>
        <v>7638.5288030944766</v>
      </c>
      <c r="L217" s="37">
        <v>2.5000000000000001E-2</v>
      </c>
      <c r="M217" s="36">
        <f t="shared" si="50"/>
        <v>100</v>
      </c>
      <c r="N217" s="36">
        <f t="shared" si="54"/>
        <v>313279.68092687352</v>
      </c>
      <c r="P217" s="38">
        <f t="shared" si="55"/>
        <v>10542.05</v>
      </c>
      <c r="Q217" s="56"/>
      <c r="R217" s="40"/>
      <c r="S217" s="36">
        <f t="shared" si="46"/>
        <v>100</v>
      </c>
      <c r="T217" s="36">
        <f t="shared" si="51"/>
        <v>10642.05</v>
      </c>
      <c r="U217" s="41">
        <f>IF(SUM($U$4:U216)=1,0,IF(SUM($Q$4:Q217)&gt;39891.29,1,0))</f>
        <v>0</v>
      </c>
      <c r="V217" s="36"/>
      <c r="W217" s="36"/>
      <c r="X217" s="36"/>
      <c r="Y217" s="36"/>
      <c r="AA217" s="42"/>
      <c r="AB217" s="42"/>
      <c r="AC217" s="43"/>
      <c r="AD217" s="43"/>
      <c r="AE217" s="42"/>
      <c r="AF217" s="44"/>
      <c r="AG217" s="45"/>
      <c r="AH217" s="43"/>
      <c r="AI217" s="46"/>
      <c r="AJ217" s="47"/>
      <c r="AL217" s="66">
        <f t="shared" si="57"/>
        <v>2.7686858628209889E-2</v>
      </c>
      <c r="AV217" s="32"/>
    </row>
    <row r="218" spans="2:48" ht="16.5" thickBot="1" x14ac:dyDescent="0.3">
      <c r="B218" s="15">
        <v>215</v>
      </c>
      <c r="C218" s="16">
        <f t="shared" si="52"/>
        <v>47266</v>
      </c>
      <c r="D218" s="17">
        <f t="shared" si="47"/>
        <v>2029</v>
      </c>
      <c r="E218" s="18">
        <f t="shared" si="53"/>
        <v>137811.92999999996</v>
      </c>
      <c r="F218" s="18">
        <v>3821.4</v>
      </c>
      <c r="G218" s="19">
        <f t="shared" si="48"/>
        <v>2.7729094280879756E-2</v>
      </c>
      <c r="H218" s="18">
        <f t="shared" si="56"/>
        <v>0</v>
      </c>
      <c r="I218" s="18">
        <f t="shared" si="49"/>
        <v>141633.32999999996</v>
      </c>
      <c r="K218" s="18">
        <f t="shared" si="45"/>
        <v>7831.9920231718388</v>
      </c>
      <c r="L218" s="19">
        <v>2.5000000000000001E-2</v>
      </c>
      <c r="M218" s="18">
        <f t="shared" si="50"/>
        <v>0</v>
      </c>
      <c r="N218" s="18">
        <f t="shared" si="54"/>
        <v>321111.67295004538</v>
      </c>
      <c r="P218" s="20">
        <f t="shared" si="55"/>
        <v>10642.05</v>
      </c>
      <c r="Q218" s="59"/>
      <c r="R218" s="22"/>
      <c r="S218" s="18">
        <f t="shared" si="46"/>
        <v>0</v>
      </c>
      <c r="T218" s="18">
        <f t="shared" si="51"/>
        <v>10642.05</v>
      </c>
      <c r="U218" s="41">
        <f>IF(SUM($U$4:U217)=1,0,IF(SUM($Q$4:Q218)&gt;39891.29,1,0))</f>
        <v>0</v>
      </c>
      <c r="V218" s="23"/>
      <c r="W218" s="23"/>
      <c r="X218" s="23"/>
      <c r="Y218" s="23"/>
      <c r="AA218" s="51"/>
      <c r="AB218" s="51"/>
      <c r="AC218" s="52"/>
      <c r="AD218" s="52"/>
      <c r="AE218" s="51"/>
      <c r="AF218" s="53"/>
      <c r="AG218" s="54"/>
      <c r="AH218" s="52"/>
      <c r="AI218" s="28"/>
      <c r="AJ218" s="55"/>
      <c r="AL218" s="66">
        <f t="shared" si="57"/>
        <v>2.7729094280879756E-2</v>
      </c>
      <c r="AV218" s="32"/>
    </row>
    <row r="219" spans="2:48" ht="16.5" thickBot="1" x14ac:dyDescent="0.3">
      <c r="B219" s="33">
        <v>216</v>
      </c>
      <c r="C219" s="34">
        <f t="shared" si="52"/>
        <v>47273</v>
      </c>
      <c r="D219" s="35">
        <f t="shared" si="47"/>
        <v>2029</v>
      </c>
      <c r="E219" s="36">
        <f t="shared" si="53"/>
        <v>141633.32999999996</v>
      </c>
      <c r="F219" s="36">
        <v>3936.04</v>
      </c>
      <c r="G219" s="37">
        <f t="shared" si="48"/>
        <v>2.7790351324790578E-2</v>
      </c>
      <c r="H219" s="36">
        <f t="shared" si="56"/>
        <v>100</v>
      </c>
      <c r="I219" s="36">
        <f t="shared" si="49"/>
        <v>145669.36999999997</v>
      </c>
      <c r="K219" s="36">
        <f t="shared" si="45"/>
        <v>8027.7918237511349</v>
      </c>
      <c r="L219" s="37">
        <v>2.5000000000000001E-2</v>
      </c>
      <c r="M219" s="36">
        <f t="shared" si="50"/>
        <v>100</v>
      </c>
      <c r="N219" s="36">
        <f t="shared" si="54"/>
        <v>329239.4647737965</v>
      </c>
      <c r="P219" s="38">
        <f t="shared" si="55"/>
        <v>10642.05</v>
      </c>
      <c r="Q219" s="56"/>
      <c r="R219" s="40"/>
      <c r="S219" s="36">
        <f t="shared" si="46"/>
        <v>100</v>
      </c>
      <c r="T219" s="36">
        <f t="shared" si="51"/>
        <v>10742.05</v>
      </c>
      <c r="U219" s="41">
        <f>IF(SUM($U$4:U218)=1,0,IF(SUM($Q$4:Q219)&gt;39891.29,1,0))</f>
        <v>0</v>
      </c>
      <c r="V219" s="36"/>
      <c r="W219" s="36"/>
      <c r="X219" s="36"/>
      <c r="Y219" s="36"/>
      <c r="AA219" s="42"/>
      <c r="AB219" s="42"/>
      <c r="AC219" s="43"/>
      <c r="AD219" s="43"/>
      <c r="AE219" s="42"/>
      <c r="AF219" s="44"/>
      <c r="AG219" s="45"/>
      <c r="AH219" s="43"/>
      <c r="AI219" s="46"/>
      <c r="AJ219" s="47"/>
      <c r="AL219" s="66">
        <f t="shared" si="57"/>
        <v>2.7790351324790578E-2</v>
      </c>
      <c r="AV219" s="32"/>
    </row>
    <row r="220" spans="2:48" ht="16.5" thickBot="1" x14ac:dyDescent="0.3">
      <c r="B220" s="15">
        <v>217</v>
      </c>
      <c r="C220" s="16">
        <f t="shared" si="52"/>
        <v>47280</v>
      </c>
      <c r="D220" s="17">
        <f t="shared" si="47"/>
        <v>2029</v>
      </c>
      <c r="E220" s="18">
        <f t="shared" si="53"/>
        <v>145669.36999999997</v>
      </c>
      <c r="F220" s="18">
        <v>4054.12</v>
      </c>
      <c r="G220" s="19">
        <f t="shared" si="48"/>
        <v>2.7830970917221656E-2</v>
      </c>
      <c r="H220" s="18">
        <f t="shared" si="56"/>
        <v>0</v>
      </c>
      <c r="I220" s="18">
        <f t="shared" si="49"/>
        <v>149723.48999999996</v>
      </c>
      <c r="K220" s="18">
        <f t="shared" si="45"/>
        <v>8230.9866193449125</v>
      </c>
      <c r="L220" s="19">
        <v>2.5000000000000001E-2</v>
      </c>
      <c r="M220" s="18">
        <f t="shared" si="50"/>
        <v>0</v>
      </c>
      <c r="N220" s="18">
        <f t="shared" si="54"/>
        <v>337470.45139314141</v>
      </c>
      <c r="P220" s="20">
        <f t="shared" si="55"/>
        <v>10742.05</v>
      </c>
      <c r="Q220" s="59"/>
      <c r="R220" s="22"/>
      <c r="S220" s="18">
        <f t="shared" si="46"/>
        <v>0</v>
      </c>
      <c r="T220" s="18">
        <f t="shared" si="51"/>
        <v>10742.05</v>
      </c>
      <c r="U220" s="41">
        <f>IF(SUM($U$4:U219)=1,0,IF(SUM($Q$4:Q220)&gt;39891.29,1,0))</f>
        <v>0</v>
      </c>
      <c r="V220" s="23"/>
      <c r="W220" s="23"/>
      <c r="X220" s="23"/>
      <c r="Y220" s="23"/>
      <c r="AA220" s="51"/>
      <c r="AB220" s="51"/>
      <c r="AC220" s="52"/>
      <c r="AD220" s="52"/>
      <c r="AE220" s="51"/>
      <c r="AF220" s="53"/>
      <c r="AG220" s="54"/>
      <c r="AH220" s="52"/>
      <c r="AI220" s="28"/>
      <c r="AJ220" s="55"/>
      <c r="AL220" s="66">
        <f t="shared" si="57"/>
        <v>2.7830970917221656E-2</v>
      </c>
      <c r="AV220" s="32"/>
    </row>
    <row r="221" spans="2:48" ht="16.5" thickBot="1" x14ac:dyDescent="0.3">
      <c r="B221" s="33">
        <v>218</v>
      </c>
      <c r="C221" s="34">
        <f t="shared" si="52"/>
        <v>47287</v>
      </c>
      <c r="D221" s="35">
        <f t="shared" si="47"/>
        <v>2029</v>
      </c>
      <c r="E221" s="36">
        <f t="shared" si="53"/>
        <v>149723.48999999996</v>
      </c>
      <c r="F221" s="36">
        <v>4175.74</v>
      </c>
      <c r="G221" s="37">
        <f t="shared" si="48"/>
        <v>2.7889678500013598E-2</v>
      </c>
      <c r="H221" s="36">
        <f t="shared" si="56"/>
        <v>100</v>
      </c>
      <c r="I221" s="36">
        <f t="shared" si="49"/>
        <v>153999.22999999995</v>
      </c>
      <c r="K221" s="36">
        <f t="shared" si="45"/>
        <v>8436.7612848285353</v>
      </c>
      <c r="L221" s="37">
        <v>2.5000000000000001E-2</v>
      </c>
      <c r="M221" s="36">
        <f t="shared" si="50"/>
        <v>100</v>
      </c>
      <c r="N221" s="36">
        <f t="shared" si="54"/>
        <v>346007.21267796995</v>
      </c>
      <c r="P221" s="38">
        <f t="shared" si="55"/>
        <v>10742.05</v>
      </c>
      <c r="Q221" s="56"/>
      <c r="R221" s="40"/>
      <c r="S221" s="36">
        <f t="shared" si="46"/>
        <v>100</v>
      </c>
      <c r="T221" s="36">
        <f t="shared" si="51"/>
        <v>10842.05</v>
      </c>
      <c r="U221" s="41">
        <f>IF(SUM($U$4:U220)=1,0,IF(SUM($Q$4:Q221)&gt;39891.29,1,0))</f>
        <v>0</v>
      </c>
      <c r="V221" s="36"/>
      <c r="W221" s="36"/>
      <c r="X221" s="36"/>
      <c r="Y221" s="36"/>
      <c r="AA221" s="42"/>
      <c r="AB221" s="42"/>
      <c r="AC221" s="43"/>
      <c r="AD221" s="43"/>
      <c r="AE221" s="42"/>
      <c r="AF221" s="44"/>
      <c r="AG221" s="45"/>
      <c r="AH221" s="43"/>
      <c r="AI221" s="46"/>
      <c r="AJ221" s="47"/>
      <c r="AL221" s="66">
        <f t="shared" si="57"/>
        <v>2.7889678500013598E-2</v>
      </c>
      <c r="AV221" s="32"/>
    </row>
    <row r="222" spans="2:48" ht="16.5" thickBot="1" x14ac:dyDescent="0.3">
      <c r="B222" s="15">
        <v>219</v>
      </c>
      <c r="C222" s="16">
        <f t="shared" si="52"/>
        <v>47294</v>
      </c>
      <c r="D222" s="17">
        <f t="shared" si="47"/>
        <v>2029</v>
      </c>
      <c r="E222" s="18">
        <f t="shared" si="53"/>
        <v>153999.22999999995</v>
      </c>
      <c r="F222" s="18">
        <v>4301.0200000000004</v>
      </c>
      <c r="G222" s="19">
        <f t="shared" si="48"/>
        <v>2.7928840942906024E-2</v>
      </c>
      <c r="H222" s="18">
        <f t="shared" si="56"/>
        <v>0</v>
      </c>
      <c r="I222" s="18">
        <f t="shared" si="49"/>
        <v>158300.24999999994</v>
      </c>
      <c r="K222" s="18">
        <f t="shared" si="45"/>
        <v>8650.1803169492487</v>
      </c>
      <c r="L222" s="19">
        <v>2.5000000000000001E-2</v>
      </c>
      <c r="M222" s="18">
        <f t="shared" si="50"/>
        <v>0</v>
      </c>
      <c r="N222" s="18">
        <f t="shared" si="54"/>
        <v>354657.39299491921</v>
      </c>
      <c r="P222" s="20">
        <f t="shared" si="55"/>
        <v>10842.05</v>
      </c>
      <c r="Q222" s="59"/>
      <c r="R222" s="22"/>
      <c r="S222" s="18">
        <f t="shared" si="46"/>
        <v>0</v>
      </c>
      <c r="T222" s="18">
        <f t="shared" si="51"/>
        <v>10842.05</v>
      </c>
      <c r="U222" s="41">
        <f>IF(SUM($U$4:U221)=1,0,IF(SUM($Q$4:Q222)&gt;39891.29,1,0))</f>
        <v>0</v>
      </c>
      <c r="V222" s="23"/>
      <c r="W222" s="23"/>
      <c r="X222" s="23"/>
      <c r="Y222" s="23"/>
      <c r="AA222" s="51"/>
      <c r="AB222" s="51"/>
      <c r="AC222" s="52"/>
      <c r="AD222" s="52"/>
      <c r="AE222" s="51"/>
      <c r="AF222" s="53"/>
      <c r="AG222" s="54"/>
      <c r="AH222" s="52"/>
      <c r="AI222" s="28"/>
      <c r="AJ222" s="55"/>
      <c r="AL222" s="66">
        <f t="shared" si="57"/>
        <v>2.7928840942906024E-2</v>
      </c>
      <c r="AV222" s="32"/>
    </row>
    <row r="223" spans="2:48" ht="16.5" thickBot="1" x14ac:dyDescent="0.3">
      <c r="B223" s="33">
        <v>220</v>
      </c>
      <c r="C223" s="34">
        <f t="shared" si="52"/>
        <v>47301</v>
      </c>
      <c r="D223" s="35">
        <f t="shared" si="47"/>
        <v>2029</v>
      </c>
      <c r="E223" s="36">
        <f t="shared" si="53"/>
        <v>158300.24999999994</v>
      </c>
      <c r="F223" s="36">
        <v>4430.05</v>
      </c>
      <c r="G223" s="37">
        <f t="shared" si="48"/>
        <v>2.7985110573103971E-2</v>
      </c>
      <c r="H223" s="36">
        <f t="shared" si="56"/>
        <v>100</v>
      </c>
      <c r="I223" s="36">
        <f t="shared" si="49"/>
        <v>162830.29999999993</v>
      </c>
      <c r="K223" s="36">
        <f t="shared" si="45"/>
        <v>8866.4348248729802</v>
      </c>
      <c r="L223" s="37">
        <v>2.5000000000000001E-2</v>
      </c>
      <c r="M223" s="36">
        <f t="shared" si="50"/>
        <v>100</v>
      </c>
      <c r="N223" s="36">
        <f t="shared" si="54"/>
        <v>363623.8278197922</v>
      </c>
      <c r="P223" s="38">
        <f t="shared" si="55"/>
        <v>10842.05</v>
      </c>
      <c r="Q223" s="56"/>
      <c r="R223" s="40"/>
      <c r="S223" s="36">
        <f t="shared" si="46"/>
        <v>100</v>
      </c>
      <c r="T223" s="36">
        <f t="shared" si="51"/>
        <v>10942.05</v>
      </c>
      <c r="U223" s="41">
        <f>IF(SUM($U$4:U222)=1,0,IF(SUM($Q$4:Q223)&gt;39891.29,1,0))</f>
        <v>0</v>
      </c>
      <c r="V223" s="36"/>
      <c r="W223" s="36"/>
      <c r="X223" s="36"/>
      <c r="Y223" s="36"/>
      <c r="AA223" s="42"/>
      <c r="AB223" s="42"/>
      <c r="AC223" s="43"/>
      <c r="AD223" s="43"/>
      <c r="AE223" s="42"/>
      <c r="AF223" s="44"/>
      <c r="AG223" s="45"/>
      <c r="AH223" s="43"/>
      <c r="AI223" s="46"/>
      <c r="AJ223" s="47"/>
      <c r="AL223" s="66">
        <f t="shared" si="57"/>
        <v>2.7985110573103971E-2</v>
      </c>
      <c r="AV223" s="32"/>
    </row>
    <row r="224" spans="2:48" ht="16.5" thickBot="1" x14ac:dyDescent="0.3">
      <c r="B224" s="15">
        <v>221</v>
      </c>
      <c r="C224" s="16">
        <f t="shared" si="52"/>
        <v>47308</v>
      </c>
      <c r="D224" s="17">
        <f t="shared" si="47"/>
        <v>2029</v>
      </c>
      <c r="E224" s="18">
        <f t="shared" si="53"/>
        <v>162830.29999999993</v>
      </c>
      <c r="F224" s="18">
        <v>4562.95</v>
      </c>
      <c r="G224" s="19">
        <f t="shared" si="48"/>
        <v>2.8022732869742314E-2</v>
      </c>
      <c r="H224" s="18">
        <f t="shared" si="56"/>
        <v>0</v>
      </c>
      <c r="I224" s="18">
        <f t="shared" si="49"/>
        <v>167393.24999999994</v>
      </c>
      <c r="K224" s="18">
        <f t="shared" si="45"/>
        <v>9090.5956954948051</v>
      </c>
      <c r="L224" s="19">
        <v>2.5000000000000001E-2</v>
      </c>
      <c r="M224" s="18">
        <f t="shared" si="50"/>
        <v>0</v>
      </c>
      <c r="N224" s="18">
        <f t="shared" si="54"/>
        <v>372714.423515287</v>
      </c>
      <c r="P224" s="20">
        <f t="shared" si="55"/>
        <v>10942.05</v>
      </c>
      <c r="Q224" s="59"/>
      <c r="R224" s="22"/>
      <c r="S224" s="18">
        <f t="shared" si="46"/>
        <v>0</v>
      </c>
      <c r="T224" s="18">
        <f t="shared" si="51"/>
        <v>10942.05</v>
      </c>
      <c r="U224" s="41">
        <f>IF(SUM($U$4:U223)=1,0,IF(SUM($Q$4:Q224)&gt;39891.29,1,0))</f>
        <v>0</v>
      </c>
      <c r="V224" s="23"/>
      <c r="W224" s="23"/>
      <c r="X224" s="23"/>
      <c r="Y224" s="23"/>
      <c r="AA224" s="51"/>
      <c r="AB224" s="51"/>
      <c r="AC224" s="52"/>
      <c r="AD224" s="52"/>
      <c r="AE224" s="51"/>
      <c r="AF224" s="53"/>
      <c r="AG224" s="54"/>
      <c r="AH224" s="52"/>
      <c r="AI224" s="28"/>
      <c r="AJ224" s="55"/>
      <c r="AL224" s="66">
        <f t="shared" si="57"/>
        <v>2.8022732869742314E-2</v>
      </c>
      <c r="AV224" s="32"/>
    </row>
    <row r="225" spans="2:48" ht="16.5" thickBot="1" x14ac:dyDescent="0.3">
      <c r="B225" s="33">
        <v>222</v>
      </c>
      <c r="C225" s="34">
        <f t="shared" si="52"/>
        <v>47315</v>
      </c>
      <c r="D225" s="35">
        <f t="shared" si="47"/>
        <v>2029</v>
      </c>
      <c r="E225" s="36">
        <f t="shared" si="53"/>
        <v>167393.24999999994</v>
      </c>
      <c r="F225" s="36">
        <v>4699.84</v>
      </c>
      <c r="G225" s="37">
        <f t="shared" si="48"/>
        <v>2.8076639888406502E-2</v>
      </c>
      <c r="H225" s="36">
        <f t="shared" si="56"/>
        <v>100</v>
      </c>
      <c r="I225" s="36">
        <f t="shared" si="49"/>
        <v>172193.08999999994</v>
      </c>
      <c r="K225" s="36">
        <f t="shared" si="45"/>
        <v>9317.8605878821745</v>
      </c>
      <c r="L225" s="37">
        <v>2.5000000000000001E-2</v>
      </c>
      <c r="M225" s="36">
        <f t="shared" si="50"/>
        <v>100</v>
      </c>
      <c r="N225" s="36">
        <f t="shared" si="54"/>
        <v>382132.28410316916</v>
      </c>
      <c r="P225" s="38">
        <f t="shared" si="55"/>
        <v>10942.05</v>
      </c>
      <c r="Q225" s="56"/>
      <c r="R225" s="40"/>
      <c r="S225" s="36">
        <f t="shared" si="46"/>
        <v>100</v>
      </c>
      <c r="T225" s="36">
        <f t="shared" si="51"/>
        <v>11042.05</v>
      </c>
      <c r="U225" s="41">
        <f>IF(SUM($U$4:U224)=1,0,IF(SUM($Q$4:Q225)&gt;39891.29,1,0))</f>
        <v>0</v>
      </c>
      <c r="V225" s="36"/>
      <c r="W225" s="36"/>
      <c r="X225" s="36"/>
      <c r="Y225" s="36"/>
      <c r="AA225" s="42"/>
      <c r="AB225" s="42"/>
      <c r="AC225" s="43"/>
      <c r="AD225" s="43"/>
      <c r="AE225" s="42"/>
      <c r="AF225" s="44"/>
      <c r="AG225" s="45"/>
      <c r="AH225" s="43"/>
      <c r="AI225" s="46"/>
      <c r="AJ225" s="47"/>
      <c r="AL225" s="66">
        <f t="shared" si="57"/>
        <v>2.8076639888406502E-2</v>
      </c>
      <c r="AV225" s="32"/>
    </row>
    <row r="226" spans="2:48" ht="16.5" thickBot="1" x14ac:dyDescent="0.3">
      <c r="B226" s="15">
        <v>223</v>
      </c>
      <c r="C226" s="16">
        <f t="shared" si="52"/>
        <v>47322</v>
      </c>
      <c r="D226" s="17">
        <f t="shared" si="47"/>
        <v>2029</v>
      </c>
      <c r="E226" s="18">
        <f t="shared" si="53"/>
        <v>172193.08999999994</v>
      </c>
      <c r="F226" s="18">
        <v>4840.83</v>
      </c>
      <c r="G226" s="19">
        <f t="shared" si="48"/>
        <v>2.8112800577537702E-2</v>
      </c>
      <c r="H226" s="18">
        <f t="shared" si="56"/>
        <v>0</v>
      </c>
      <c r="I226" s="18">
        <f t="shared" si="49"/>
        <v>177033.91999999993</v>
      </c>
      <c r="K226" s="18">
        <f t="shared" si="45"/>
        <v>9553.3071025792287</v>
      </c>
      <c r="L226" s="19">
        <v>2.5000000000000001E-2</v>
      </c>
      <c r="M226" s="18">
        <f t="shared" si="50"/>
        <v>0</v>
      </c>
      <c r="N226" s="18">
        <f t="shared" si="54"/>
        <v>391685.59120574838</v>
      </c>
      <c r="P226" s="20">
        <f t="shared" si="55"/>
        <v>11042.05</v>
      </c>
      <c r="Q226" s="59"/>
      <c r="R226" s="22"/>
      <c r="S226" s="18">
        <f t="shared" si="46"/>
        <v>0</v>
      </c>
      <c r="T226" s="18">
        <f t="shared" si="51"/>
        <v>11042.05</v>
      </c>
      <c r="U226" s="41">
        <f>IF(SUM($U$4:U225)=1,0,IF(SUM($Q$4:Q226)&gt;39891.29,1,0))</f>
        <v>0</v>
      </c>
      <c r="V226" s="23"/>
      <c r="W226" s="23"/>
      <c r="X226" s="23"/>
      <c r="Y226" s="23"/>
      <c r="AA226" s="51"/>
      <c r="AB226" s="51"/>
      <c r="AC226" s="52"/>
      <c r="AD226" s="52"/>
      <c r="AE226" s="51"/>
      <c r="AF226" s="53"/>
      <c r="AG226" s="54"/>
      <c r="AH226" s="52"/>
      <c r="AI226" s="28"/>
      <c r="AJ226" s="55"/>
      <c r="AL226" s="66">
        <f t="shared" si="57"/>
        <v>2.8112800577537702E-2</v>
      </c>
      <c r="AV226" s="32"/>
    </row>
    <row r="227" spans="2:48" ht="16.5" thickBot="1" x14ac:dyDescent="0.3">
      <c r="B227" s="33">
        <v>224</v>
      </c>
      <c r="C227" s="34">
        <f t="shared" si="52"/>
        <v>47329</v>
      </c>
      <c r="D227" s="35">
        <f t="shared" si="47"/>
        <v>2029</v>
      </c>
      <c r="E227" s="36">
        <f t="shared" si="53"/>
        <v>177033.91999999993</v>
      </c>
      <c r="F227" s="36">
        <v>4986.0600000000004</v>
      </c>
      <c r="G227" s="37">
        <f t="shared" si="48"/>
        <v>2.8164433121065174E-2</v>
      </c>
      <c r="H227" s="36">
        <f t="shared" si="56"/>
        <v>100</v>
      </c>
      <c r="I227" s="36">
        <f t="shared" si="49"/>
        <v>182119.97999999992</v>
      </c>
      <c r="K227" s="36">
        <f t="shared" si="45"/>
        <v>9792.1397801437106</v>
      </c>
      <c r="L227" s="37">
        <v>2.5000000000000001E-2</v>
      </c>
      <c r="M227" s="36">
        <f t="shared" si="50"/>
        <v>100</v>
      </c>
      <c r="N227" s="36">
        <f t="shared" si="54"/>
        <v>401577.73098589206</v>
      </c>
      <c r="P227" s="38">
        <f t="shared" si="55"/>
        <v>11042.05</v>
      </c>
      <c r="Q227" s="56"/>
      <c r="R227" s="40"/>
      <c r="S227" s="36">
        <f t="shared" si="46"/>
        <v>100</v>
      </c>
      <c r="T227" s="36">
        <f t="shared" si="51"/>
        <v>11142.05</v>
      </c>
      <c r="U227" s="41">
        <f>IF(SUM($U$4:U226)=1,0,IF(SUM($Q$4:Q227)&gt;39891.29,1,0))</f>
        <v>0</v>
      </c>
      <c r="V227" s="36"/>
      <c r="W227" s="36"/>
      <c r="X227" s="36"/>
      <c r="Y227" s="36"/>
      <c r="AA227" s="42"/>
      <c r="AB227" s="42"/>
      <c r="AC227" s="43"/>
      <c r="AD227" s="43"/>
      <c r="AE227" s="42"/>
      <c r="AF227" s="44"/>
      <c r="AG227" s="45"/>
      <c r="AH227" s="43"/>
      <c r="AI227" s="46"/>
      <c r="AJ227" s="47"/>
      <c r="AL227" s="66">
        <f t="shared" si="57"/>
        <v>2.8164433121065174E-2</v>
      </c>
      <c r="AV227" s="32"/>
    </row>
    <row r="228" spans="2:48" ht="16.5" thickBot="1" x14ac:dyDescent="0.3">
      <c r="B228" s="15">
        <v>225</v>
      </c>
      <c r="C228" s="16">
        <f t="shared" si="52"/>
        <v>47336</v>
      </c>
      <c r="D228" s="17">
        <f t="shared" si="47"/>
        <v>2029</v>
      </c>
      <c r="E228" s="18">
        <f t="shared" si="53"/>
        <v>182119.97999999992</v>
      </c>
      <c r="F228" s="18">
        <v>5135.6400000000003</v>
      </c>
      <c r="G228" s="19">
        <f t="shared" si="48"/>
        <v>2.8199212409313917E-2</v>
      </c>
      <c r="H228" s="18">
        <f t="shared" si="56"/>
        <v>0</v>
      </c>
      <c r="I228" s="18">
        <f t="shared" si="49"/>
        <v>187255.61999999994</v>
      </c>
      <c r="K228" s="18">
        <f t="shared" si="45"/>
        <v>10039.443274647303</v>
      </c>
      <c r="L228" s="19">
        <v>2.5000000000000001E-2</v>
      </c>
      <c r="M228" s="18">
        <f t="shared" si="50"/>
        <v>0</v>
      </c>
      <c r="N228" s="18">
        <f t="shared" si="54"/>
        <v>411617.17426053935</v>
      </c>
      <c r="P228" s="20">
        <f t="shared" si="55"/>
        <v>11142.05</v>
      </c>
      <c r="Q228" s="59"/>
      <c r="R228" s="22"/>
      <c r="S228" s="18">
        <f t="shared" si="46"/>
        <v>0</v>
      </c>
      <c r="T228" s="18">
        <f t="shared" si="51"/>
        <v>11142.05</v>
      </c>
      <c r="U228" s="41">
        <f>IF(SUM($U$4:U227)=1,0,IF(SUM($Q$4:Q228)&gt;39891.29,1,0))</f>
        <v>0</v>
      </c>
      <c r="V228" s="23"/>
      <c r="W228" s="23"/>
      <c r="X228" s="23"/>
      <c r="Y228" s="23"/>
      <c r="AA228" s="51"/>
      <c r="AB228" s="51"/>
      <c r="AC228" s="52"/>
      <c r="AD228" s="52"/>
      <c r="AE228" s="51"/>
      <c r="AF228" s="53"/>
      <c r="AG228" s="54"/>
      <c r="AH228" s="52"/>
      <c r="AI228" s="28"/>
      <c r="AJ228" s="55"/>
      <c r="AL228" s="66">
        <f t="shared" si="57"/>
        <v>2.8199212409313917E-2</v>
      </c>
      <c r="AV228" s="32"/>
    </row>
    <row r="229" spans="2:48" ht="16.5" thickBot="1" x14ac:dyDescent="0.3">
      <c r="B229" s="33">
        <v>226</v>
      </c>
      <c r="C229" s="34">
        <f t="shared" si="52"/>
        <v>47343</v>
      </c>
      <c r="D229" s="35">
        <f t="shared" si="47"/>
        <v>2029</v>
      </c>
      <c r="E229" s="36">
        <f t="shared" si="53"/>
        <v>187255.61999999994</v>
      </c>
      <c r="F229" s="36">
        <v>5289.71</v>
      </c>
      <c r="G229" s="37">
        <f t="shared" si="48"/>
        <v>2.8248604768177327E-2</v>
      </c>
      <c r="H229" s="36">
        <f t="shared" si="56"/>
        <v>100</v>
      </c>
      <c r="I229" s="36">
        <f t="shared" si="49"/>
        <v>192645.32999999993</v>
      </c>
      <c r="K229" s="36">
        <f t="shared" si="45"/>
        <v>10290.429356513485</v>
      </c>
      <c r="L229" s="37">
        <v>2.5000000000000001E-2</v>
      </c>
      <c r="M229" s="36">
        <f t="shared" si="50"/>
        <v>100</v>
      </c>
      <c r="N229" s="36">
        <f t="shared" si="54"/>
        <v>422007.60361705284</v>
      </c>
      <c r="P229" s="38">
        <f t="shared" si="55"/>
        <v>11142.05</v>
      </c>
      <c r="Q229" s="56"/>
      <c r="R229" s="40"/>
      <c r="S229" s="36">
        <f t="shared" si="46"/>
        <v>100</v>
      </c>
      <c r="T229" s="36">
        <f t="shared" si="51"/>
        <v>11242.05</v>
      </c>
      <c r="U229" s="41">
        <f>IF(SUM($U$4:U228)=1,0,IF(SUM($Q$4:Q229)&gt;39891.29,1,0))</f>
        <v>0</v>
      </c>
      <c r="V229" s="36"/>
      <c r="W229" s="36"/>
      <c r="X229" s="36"/>
      <c r="Y229" s="36"/>
      <c r="AA229" s="42"/>
      <c r="AB229" s="42"/>
      <c r="AC229" s="43"/>
      <c r="AD229" s="43"/>
      <c r="AE229" s="42"/>
      <c r="AF229" s="44"/>
      <c r="AG229" s="45"/>
      <c r="AH229" s="43"/>
      <c r="AI229" s="46"/>
      <c r="AJ229" s="47"/>
      <c r="AL229" s="66">
        <f t="shared" si="57"/>
        <v>2.8248604768177327E-2</v>
      </c>
      <c r="AV229" s="32"/>
    </row>
    <row r="230" spans="2:48" ht="16.5" thickBot="1" x14ac:dyDescent="0.3">
      <c r="B230" s="15">
        <v>227</v>
      </c>
      <c r="C230" s="16">
        <f t="shared" si="52"/>
        <v>47350</v>
      </c>
      <c r="D230" s="17">
        <f t="shared" si="47"/>
        <v>2029</v>
      </c>
      <c r="E230" s="18">
        <f t="shared" si="53"/>
        <v>192645.32999999993</v>
      </c>
      <c r="F230" s="18">
        <v>5448.4</v>
      </c>
      <c r="G230" s="19">
        <f t="shared" si="48"/>
        <v>2.8282024796552306E-2</v>
      </c>
      <c r="H230" s="18">
        <f t="shared" si="56"/>
        <v>0</v>
      </c>
      <c r="I230" s="18">
        <f t="shared" si="49"/>
        <v>198093.72999999992</v>
      </c>
      <c r="K230" s="18">
        <f t="shared" si="45"/>
        <v>10550.190090426322</v>
      </c>
      <c r="L230" s="19">
        <v>2.5000000000000001E-2</v>
      </c>
      <c r="M230" s="18">
        <f t="shared" si="50"/>
        <v>0</v>
      </c>
      <c r="N230" s="18">
        <f t="shared" si="54"/>
        <v>432557.79370747914</v>
      </c>
      <c r="P230" s="20">
        <f t="shared" si="55"/>
        <v>11242.05</v>
      </c>
      <c r="Q230" s="59"/>
      <c r="R230" s="22"/>
      <c r="S230" s="18">
        <f t="shared" si="46"/>
        <v>0</v>
      </c>
      <c r="T230" s="18">
        <f t="shared" si="51"/>
        <v>11242.05</v>
      </c>
      <c r="U230" s="41">
        <f>IF(SUM($U$4:U229)=1,0,IF(SUM($Q$4:Q230)&gt;39891.29,1,0))</f>
        <v>0</v>
      </c>
      <c r="V230" s="23"/>
      <c r="W230" s="23"/>
      <c r="X230" s="23"/>
      <c r="Y230" s="23"/>
      <c r="AA230" s="51"/>
      <c r="AB230" s="51"/>
      <c r="AC230" s="52"/>
      <c r="AD230" s="52"/>
      <c r="AE230" s="51"/>
      <c r="AF230" s="53"/>
      <c r="AG230" s="54"/>
      <c r="AH230" s="52"/>
      <c r="AI230" s="28"/>
      <c r="AJ230" s="55"/>
      <c r="AL230" s="66">
        <f t="shared" si="57"/>
        <v>2.8282024796552306E-2</v>
      </c>
      <c r="AV230" s="32"/>
    </row>
    <row r="231" spans="2:48" ht="16.5" thickBot="1" x14ac:dyDescent="0.3">
      <c r="B231" s="33">
        <v>228</v>
      </c>
      <c r="C231" s="34">
        <f t="shared" si="52"/>
        <v>47357</v>
      </c>
      <c r="D231" s="35">
        <f t="shared" si="47"/>
        <v>2029</v>
      </c>
      <c r="E231" s="36">
        <f t="shared" si="53"/>
        <v>198093.72999999992</v>
      </c>
      <c r="F231" s="36">
        <v>5611.85</v>
      </c>
      <c r="G231" s="37">
        <f t="shared" si="48"/>
        <v>2.8329266150927658E-2</v>
      </c>
      <c r="H231" s="36">
        <f t="shared" si="56"/>
        <v>100</v>
      </c>
      <c r="I231" s="36">
        <f t="shared" si="49"/>
        <v>203805.57999999993</v>
      </c>
      <c r="K231" s="36">
        <f t="shared" si="45"/>
        <v>10813.944842686979</v>
      </c>
      <c r="L231" s="37">
        <v>2.5000000000000001E-2</v>
      </c>
      <c r="M231" s="36">
        <f t="shared" si="50"/>
        <v>100</v>
      </c>
      <c r="N231" s="36">
        <f t="shared" si="54"/>
        <v>443471.73855016613</v>
      </c>
      <c r="P231" s="38">
        <f t="shared" si="55"/>
        <v>11242.05</v>
      </c>
      <c r="Q231" s="56"/>
      <c r="R231" s="40"/>
      <c r="S231" s="36">
        <f t="shared" si="46"/>
        <v>100</v>
      </c>
      <c r="T231" s="36">
        <f t="shared" si="51"/>
        <v>11342.05</v>
      </c>
      <c r="U231" s="41">
        <f>IF(SUM($U$4:U230)=1,0,IF(SUM($Q$4:Q231)&gt;39891.29,1,0))</f>
        <v>0</v>
      </c>
      <c r="V231" s="36"/>
      <c r="W231" s="36"/>
      <c r="X231" s="36"/>
      <c r="Y231" s="36"/>
      <c r="AA231" s="42"/>
      <c r="AB231" s="42"/>
      <c r="AC231" s="43"/>
      <c r="AD231" s="43"/>
      <c r="AE231" s="42"/>
      <c r="AF231" s="44"/>
      <c r="AG231" s="45"/>
      <c r="AH231" s="43"/>
      <c r="AI231" s="46"/>
      <c r="AJ231" s="47"/>
      <c r="AL231" s="66">
        <f t="shared" si="57"/>
        <v>2.8329266150927658E-2</v>
      </c>
      <c r="AV231" s="32"/>
    </row>
    <row r="232" spans="2:48" ht="16.5" thickBot="1" x14ac:dyDescent="0.3">
      <c r="B232" s="15">
        <v>229</v>
      </c>
      <c r="C232" s="16">
        <f t="shared" si="52"/>
        <v>47364</v>
      </c>
      <c r="D232" s="17">
        <f t="shared" si="47"/>
        <v>2029</v>
      </c>
      <c r="E232" s="18">
        <f t="shared" si="53"/>
        <v>203805.57999999993</v>
      </c>
      <c r="F232" s="18">
        <v>5780.21</v>
      </c>
      <c r="G232" s="19">
        <f t="shared" si="48"/>
        <v>2.8361392264137232E-2</v>
      </c>
      <c r="H232" s="18">
        <f t="shared" si="56"/>
        <v>0</v>
      </c>
      <c r="I232" s="18">
        <f t="shared" si="49"/>
        <v>209585.78999999992</v>
      </c>
      <c r="K232" s="18">
        <f t="shared" si="45"/>
        <v>11086.793463754155</v>
      </c>
      <c r="L232" s="19">
        <v>2.5000000000000001E-2</v>
      </c>
      <c r="M232" s="18">
        <f t="shared" si="50"/>
        <v>0</v>
      </c>
      <c r="N232" s="18">
        <f t="shared" si="54"/>
        <v>454558.53201392031</v>
      </c>
      <c r="P232" s="20">
        <f t="shared" si="55"/>
        <v>11342.05</v>
      </c>
      <c r="Q232" s="59"/>
      <c r="R232" s="22"/>
      <c r="S232" s="18">
        <f t="shared" si="46"/>
        <v>0</v>
      </c>
      <c r="T232" s="18">
        <f t="shared" si="51"/>
        <v>11342.05</v>
      </c>
      <c r="U232" s="41">
        <f>IF(SUM($U$4:U231)=1,0,IF(SUM($Q$4:Q232)&gt;39891.29,1,0))</f>
        <v>0</v>
      </c>
      <c r="V232" s="23"/>
      <c r="W232" s="23"/>
      <c r="X232" s="23"/>
      <c r="Y232" s="23"/>
      <c r="AA232" s="51"/>
      <c r="AB232" s="51"/>
      <c r="AC232" s="52"/>
      <c r="AD232" s="52"/>
      <c r="AE232" s="51"/>
      <c r="AF232" s="53"/>
      <c r="AG232" s="54"/>
      <c r="AH232" s="52"/>
      <c r="AI232" s="28"/>
      <c r="AJ232" s="55"/>
      <c r="AL232" s="66">
        <f t="shared" si="57"/>
        <v>2.8361392264137232E-2</v>
      </c>
      <c r="AV232" s="32"/>
    </row>
    <row r="233" spans="2:48" ht="16.5" thickBot="1" x14ac:dyDescent="0.3">
      <c r="B233" s="33">
        <v>230</v>
      </c>
      <c r="C233" s="34">
        <f t="shared" si="52"/>
        <v>47371</v>
      </c>
      <c r="D233" s="35">
        <f t="shared" si="47"/>
        <v>2029</v>
      </c>
      <c r="E233" s="36">
        <f t="shared" si="53"/>
        <v>209585.78999999992</v>
      </c>
      <c r="F233" s="36">
        <v>5953.61</v>
      </c>
      <c r="G233" s="37">
        <f t="shared" si="48"/>
        <v>2.8406553707672651E-2</v>
      </c>
      <c r="H233" s="36">
        <f t="shared" si="56"/>
        <v>100</v>
      </c>
      <c r="I233" s="36">
        <f t="shared" si="49"/>
        <v>215639.39999999991</v>
      </c>
      <c r="K233" s="36">
        <f t="shared" si="45"/>
        <v>11363.963300348008</v>
      </c>
      <c r="L233" s="37">
        <v>2.5000000000000001E-2</v>
      </c>
      <c r="M233" s="36">
        <f t="shared" si="50"/>
        <v>100</v>
      </c>
      <c r="N233" s="36">
        <f t="shared" si="54"/>
        <v>466022.49531426834</v>
      </c>
      <c r="P233" s="38">
        <f t="shared" si="55"/>
        <v>11342.05</v>
      </c>
      <c r="Q233" s="56"/>
      <c r="R233" s="40"/>
      <c r="S233" s="36">
        <f t="shared" si="46"/>
        <v>100</v>
      </c>
      <c r="T233" s="36">
        <f t="shared" si="51"/>
        <v>11442.05</v>
      </c>
      <c r="U233" s="41">
        <f>IF(SUM($U$4:U232)=1,0,IF(SUM($Q$4:Q233)&gt;39891.29,1,0))</f>
        <v>0</v>
      </c>
      <c r="V233" s="36"/>
      <c r="W233" s="36"/>
      <c r="X233" s="36"/>
      <c r="Y233" s="36"/>
      <c r="AA233" s="42"/>
      <c r="AB233" s="42"/>
      <c r="AC233" s="43"/>
      <c r="AD233" s="43"/>
      <c r="AE233" s="42"/>
      <c r="AF233" s="44"/>
      <c r="AG233" s="45"/>
      <c r="AH233" s="43"/>
      <c r="AI233" s="46"/>
      <c r="AJ233" s="47"/>
      <c r="AL233" s="66">
        <f t="shared" si="57"/>
        <v>2.8406553707672651E-2</v>
      </c>
      <c r="AV233" s="32"/>
    </row>
    <row r="234" spans="2:48" ht="16.5" thickBot="1" x14ac:dyDescent="0.3">
      <c r="B234" s="15">
        <v>231</v>
      </c>
      <c r="C234" s="16">
        <f t="shared" si="52"/>
        <v>47378</v>
      </c>
      <c r="D234" s="17">
        <f t="shared" si="47"/>
        <v>2029</v>
      </c>
      <c r="E234" s="18">
        <f t="shared" si="53"/>
        <v>215639.39999999991</v>
      </c>
      <c r="F234" s="18">
        <v>6132.22</v>
      </c>
      <c r="G234" s="19">
        <f t="shared" si="48"/>
        <v>2.8437382036863405E-2</v>
      </c>
      <c r="H234" s="18">
        <f t="shared" si="56"/>
        <v>0</v>
      </c>
      <c r="I234" s="18">
        <f t="shared" si="49"/>
        <v>221771.61999999991</v>
      </c>
      <c r="K234" s="18">
        <f t="shared" si="45"/>
        <v>11650.56238285671</v>
      </c>
      <c r="L234" s="19">
        <v>2.5000000000000001E-2</v>
      </c>
      <c r="M234" s="18">
        <f t="shared" si="50"/>
        <v>0</v>
      </c>
      <c r="N234" s="18">
        <f t="shared" si="54"/>
        <v>477673.05769712507</v>
      </c>
      <c r="P234" s="20">
        <f t="shared" si="55"/>
        <v>11442.05</v>
      </c>
      <c r="Q234" s="59"/>
      <c r="R234" s="22"/>
      <c r="S234" s="18">
        <f t="shared" si="46"/>
        <v>0</v>
      </c>
      <c r="T234" s="18">
        <f t="shared" si="51"/>
        <v>11442.05</v>
      </c>
      <c r="U234" s="41">
        <f>IF(SUM($U$4:U233)=1,0,IF(SUM($Q$4:Q234)&gt;39891.29,1,0))</f>
        <v>0</v>
      </c>
      <c r="V234" s="23"/>
      <c r="W234" s="23"/>
      <c r="X234" s="23"/>
      <c r="Y234" s="23"/>
      <c r="AA234" s="51"/>
      <c r="AB234" s="51"/>
      <c r="AC234" s="52"/>
      <c r="AD234" s="52"/>
      <c r="AE234" s="51"/>
      <c r="AF234" s="53"/>
      <c r="AG234" s="54"/>
      <c r="AH234" s="52"/>
      <c r="AI234" s="28"/>
      <c r="AJ234" s="55"/>
      <c r="AL234" s="66">
        <f t="shared" si="57"/>
        <v>2.8437382036863405E-2</v>
      </c>
      <c r="AV234" s="32"/>
    </row>
    <row r="235" spans="2:48" ht="16.5" thickBot="1" x14ac:dyDescent="0.3">
      <c r="B235" s="33">
        <v>232</v>
      </c>
      <c r="C235" s="34">
        <f t="shared" si="52"/>
        <v>47385</v>
      </c>
      <c r="D235" s="35">
        <f t="shared" si="47"/>
        <v>2029</v>
      </c>
      <c r="E235" s="36">
        <f t="shared" si="53"/>
        <v>221771.61999999991</v>
      </c>
      <c r="F235" s="36">
        <v>6316.19</v>
      </c>
      <c r="G235" s="37">
        <f t="shared" si="48"/>
        <v>2.8480605408392663E-2</v>
      </c>
      <c r="H235" s="36">
        <f t="shared" si="56"/>
        <v>100</v>
      </c>
      <c r="I235" s="36">
        <f t="shared" si="49"/>
        <v>228187.80999999991</v>
      </c>
      <c r="K235" s="36">
        <f t="shared" ref="K235:K298" si="58">L235*N234</f>
        <v>11941.826442428128</v>
      </c>
      <c r="L235" s="37">
        <v>2.5000000000000001E-2</v>
      </c>
      <c r="M235" s="36">
        <f t="shared" si="50"/>
        <v>100</v>
      </c>
      <c r="N235" s="36">
        <f t="shared" si="54"/>
        <v>489714.88413955318</v>
      </c>
      <c r="P235" s="38">
        <f t="shared" si="55"/>
        <v>11442.05</v>
      </c>
      <c r="Q235" s="56"/>
      <c r="R235" s="40"/>
      <c r="S235" s="36">
        <f t="shared" si="46"/>
        <v>100</v>
      </c>
      <c r="T235" s="36">
        <f t="shared" si="51"/>
        <v>11542.05</v>
      </c>
      <c r="U235" s="41">
        <f>IF(SUM($U$4:U234)=1,0,IF(SUM($Q$4:Q235)&gt;39891.29,1,0))</f>
        <v>0</v>
      </c>
      <c r="V235" s="36"/>
      <c r="W235" s="36"/>
      <c r="X235" s="36"/>
      <c r="Y235" s="36"/>
      <c r="AA235" s="42"/>
      <c r="AB235" s="42"/>
      <c r="AC235" s="43"/>
      <c r="AD235" s="43"/>
      <c r="AE235" s="42"/>
      <c r="AF235" s="44"/>
      <c r="AG235" s="45"/>
      <c r="AH235" s="43"/>
      <c r="AI235" s="46"/>
      <c r="AJ235" s="47"/>
      <c r="AL235" s="66">
        <f t="shared" si="57"/>
        <v>2.8480605408392663E-2</v>
      </c>
      <c r="AV235" s="32"/>
    </row>
    <row r="236" spans="2:48" ht="16.5" thickBot="1" x14ac:dyDescent="0.3">
      <c r="B236" s="15">
        <v>233</v>
      </c>
      <c r="C236" s="16">
        <f t="shared" si="52"/>
        <v>47392</v>
      </c>
      <c r="D236" s="17">
        <f t="shared" si="47"/>
        <v>2029</v>
      </c>
      <c r="E236" s="18">
        <f t="shared" si="53"/>
        <v>228187.80999999991</v>
      </c>
      <c r="F236" s="18">
        <v>6505.67</v>
      </c>
      <c r="G236" s="19">
        <f t="shared" si="48"/>
        <v>2.8510155735312955E-2</v>
      </c>
      <c r="H236" s="18">
        <f t="shared" si="56"/>
        <v>0</v>
      </c>
      <c r="I236" s="18">
        <f t="shared" si="49"/>
        <v>234693.47999999992</v>
      </c>
      <c r="K236" s="18">
        <f t="shared" si="58"/>
        <v>12242.872103488829</v>
      </c>
      <c r="L236" s="19">
        <v>2.5000000000000001E-2</v>
      </c>
      <c r="M236" s="18">
        <f t="shared" si="50"/>
        <v>0</v>
      </c>
      <c r="N236" s="18">
        <f t="shared" si="54"/>
        <v>501957.75624304201</v>
      </c>
      <c r="P236" s="20">
        <f t="shared" si="55"/>
        <v>11542.05</v>
      </c>
      <c r="Q236" s="59"/>
      <c r="R236" s="22"/>
      <c r="S236" s="18">
        <f t="shared" si="46"/>
        <v>0</v>
      </c>
      <c r="T236" s="18">
        <f t="shared" si="51"/>
        <v>11542.05</v>
      </c>
      <c r="U236" s="41">
        <f>IF(SUM($U$4:U235)=1,0,IF(SUM($Q$4:Q236)&gt;39891.29,1,0))</f>
        <v>0</v>
      </c>
      <c r="V236" s="23"/>
      <c r="W236" s="23"/>
      <c r="X236" s="23"/>
      <c r="Y236" s="23"/>
      <c r="AA236" s="51"/>
      <c r="AB236" s="51"/>
      <c r="AC236" s="52"/>
      <c r="AD236" s="52"/>
      <c r="AE236" s="51"/>
      <c r="AF236" s="53"/>
      <c r="AG236" s="54"/>
      <c r="AH236" s="52"/>
      <c r="AI236" s="28"/>
      <c r="AJ236" s="55"/>
      <c r="AL236" s="66">
        <f t="shared" si="57"/>
        <v>2.8510155735312955E-2</v>
      </c>
      <c r="AV236" s="32"/>
    </row>
    <row r="237" spans="2:48" ht="16.5" thickBot="1" x14ac:dyDescent="0.3">
      <c r="B237" s="33">
        <v>234</v>
      </c>
      <c r="C237" s="34">
        <f t="shared" si="52"/>
        <v>47399</v>
      </c>
      <c r="D237" s="35">
        <f t="shared" si="47"/>
        <v>2029</v>
      </c>
      <c r="E237" s="36">
        <f t="shared" si="53"/>
        <v>234693.47999999992</v>
      </c>
      <c r="F237" s="36">
        <v>6700.84</v>
      </c>
      <c r="G237" s="37">
        <f t="shared" si="48"/>
        <v>2.8551453581070946E-2</v>
      </c>
      <c r="H237" s="36">
        <f t="shared" si="56"/>
        <v>100</v>
      </c>
      <c r="I237" s="36">
        <f t="shared" si="49"/>
        <v>241494.31999999992</v>
      </c>
      <c r="K237" s="36">
        <f t="shared" si="58"/>
        <v>12548.943906076051</v>
      </c>
      <c r="L237" s="37">
        <v>2.5000000000000001E-2</v>
      </c>
      <c r="M237" s="36">
        <f t="shared" si="50"/>
        <v>100</v>
      </c>
      <c r="N237" s="36">
        <f t="shared" si="54"/>
        <v>514606.70014911809</v>
      </c>
      <c r="P237" s="38">
        <f t="shared" si="55"/>
        <v>11542.05</v>
      </c>
      <c r="Q237" s="56"/>
      <c r="R237" s="40"/>
      <c r="S237" s="36">
        <f t="shared" si="46"/>
        <v>100</v>
      </c>
      <c r="T237" s="36">
        <f t="shared" si="51"/>
        <v>11642.05</v>
      </c>
      <c r="U237" s="41">
        <f>IF(SUM($U$4:U236)=1,0,IF(SUM($Q$4:Q237)&gt;39891.29,1,0))</f>
        <v>0</v>
      </c>
      <c r="V237" s="36"/>
      <c r="W237" s="36"/>
      <c r="X237" s="36"/>
      <c r="Y237" s="36"/>
      <c r="AA237" s="42"/>
      <c r="AB237" s="42"/>
      <c r="AC237" s="43"/>
      <c r="AD237" s="43"/>
      <c r="AE237" s="42"/>
      <c r="AF237" s="44"/>
      <c r="AG237" s="45"/>
      <c r="AH237" s="43"/>
      <c r="AI237" s="46"/>
      <c r="AJ237" s="47"/>
      <c r="AL237" s="66">
        <f t="shared" si="57"/>
        <v>2.8551453581070946E-2</v>
      </c>
      <c r="AV237" s="32"/>
    </row>
    <row r="238" spans="2:48" ht="16.5" thickBot="1" x14ac:dyDescent="0.3">
      <c r="B238" s="15">
        <v>235</v>
      </c>
      <c r="C238" s="16">
        <f t="shared" si="52"/>
        <v>47406</v>
      </c>
      <c r="D238" s="17">
        <f t="shared" si="47"/>
        <v>2029</v>
      </c>
      <c r="E238" s="18">
        <f t="shared" si="53"/>
        <v>241494.31999999992</v>
      </c>
      <c r="F238" s="18">
        <v>6901.87</v>
      </c>
      <c r="G238" s="19">
        <f t="shared" si="48"/>
        <v>2.8579844031114281E-2</v>
      </c>
      <c r="H238" s="18">
        <f t="shared" si="56"/>
        <v>0</v>
      </c>
      <c r="I238" s="18">
        <f t="shared" si="49"/>
        <v>248396.18999999992</v>
      </c>
      <c r="K238" s="18">
        <f t="shared" si="58"/>
        <v>12865.167503727953</v>
      </c>
      <c r="L238" s="19">
        <v>2.5000000000000001E-2</v>
      </c>
      <c r="M238" s="18">
        <f t="shared" si="50"/>
        <v>0</v>
      </c>
      <c r="N238" s="18">
        <f t="shared" si="54"/>
        <v>527471.86765284603</v>
      </c>
      <c r="P238" s="20">
        <f t="shared" si="55"/>
        <v>11642.05</v>
      </c>
      <c r="Q238" s="59"/>
      <c r="R238" s="22"/>
      <c r="S238" s="18">
        <f t="shared" ref="S238:S301" si="59">S236</f>
        <v>0</v>
      </c>
      <c r="T238" s="18">
        <f t="shared" si="51"/>
        <v>11642.05</v>
      </c>
      <c r="U238" s="41">
        <f>IF(SUM($U$4:U237)=1,0,IF(SUM($Q$4:Q238)&gt;39891.29,1,0))</f>
        <v>0</v>
      </c>
      <c r="V238" s="23"/>
      <c r="W238" s="23"/>
      <c r="X238" s="23"/>
      <c r="Y238" s="23"/>
      <c r="AA238" s="51"/>
      <c r="AB238" s="51"/>
      <c r="AC238" s="52"/>
      <c r="AD238" s="52"/>
      <c r="AE238" s="51"/>
      <c r="AF238" s="53"/>
      <c r="AG238" s="54"/>
      <c r="AH238" s="52"/>
      <c r="AI238" s="28"/>
      <c r="AJ238" s="55"/>
      <c r="AL238" s="66">
        <f t="shared" si="57"/>
        <v>2.8579844031114281E-2</v>
      </c>
      <c r="AV238" s="32"/>
    </row>
    <row r="239" spans="2:48" ht="16.5" thickBot="1" x14ac:dyDescent="0.3">
      <c r="B239" s="33">
        <v>236</v>
      </c>
      <c r="C239" s="34">
        <f t="shared" si="52"/>
        <v>47413</v>
      </c>
      <c r="D239" s="35">
        <f t="shared" si="47"/>
        <v>2029</v>
      </c>
      <c r="E239" s="36">
        <f t="shared" si="53"/>
        <v>248396.18999999992</v>
      </c>
      <c r="F239" s="36">
        <v>7108.92</v>
      </c>
      <c r="G239" s="37">
        <f t="shared" si="48"/>
        <v>2.8619279546920597E-2</v>
      </c>
      <c r="H239" s="36">
        <f t="shared" si="56"/>
        <v>100</v>
      </c>
      <c r="I239" s="36">
        <f t="shared" si="49"/>
        <v>255605.10999999993</v>
      </c>
      <c r="K239" s="36">
        <f t="shared" si="58"/>
        <v>13186.796691321151</v>
      </c>
      <c r="L239" s="37">
        <v>2.5000000000000001E-2</v>
      </c>
      <c r="M239" s="36">
        <f t="shared" si="50"/>
        <v>100</v>
      </c>
      <c r="N239" s="36">
        <f t="shared" si="54"/>
        <v>540758.66434416722</v>
      </c>
      <c r="P239" s="38">
        <f t="shared" si="55"/>
        <v>11642.05</v>
      </c>
      <c r="Q239" s="56"/>
      <c r="R239" s="40"/>
      <c r="S239" s="36">
        <f t="shared" si="59"/>
        <v>100</v>
      </c>
      <c r="T239" s="36">
        <f t="shared" si="51"/>
        <v>11742.05</v>
      </c>
      <c r="U239" s="41">
        <f>IF(SUM($U$4:U238)=1,0,IF(SUM($Q$4:Q239)&gt;39891.29,1,0))</f>
        <v>0</v>
      </c>
      <c r="V239" s="36"/>
      <c r="W239" s="36"/>
      <c r="X239" s="36"/>
      <c r="Y239" s="36"/>
      <c r="AA239" s="42"/>
      <c r="AB239" s="42"/>
      <c r="AC239" s="43"/>
      <c r="AD239" s="43"/>
      <c r="AE239" s="42"/>
      <c r="AF239" s="44"/>
      <c r="AG239" s="45"/>
      <c r="AH239" s="43"/>
      <c r="AI239" s="46"/>
      <c r="AJ239" s="47"/>
      <c r="AL239" s="66">
        <f t="shared" si="57"/>
        <v>2.8619279546920597E-2</v>
      </c>
      <c r="AV239" s="32"/>
    </row>
    <row r="240" spans="2:48" ht="16.5" thickBot="1" x14ac:dyDescent="0.3">
      <c r="B240" s="15">
        <v>237</v>
      </c>
      <c r="C240" s="16">
        <f t="shared" si="52"/>
        <v>47420</v>
      </c>
      <c r="D240" s="17">
        <f t="shared" si="47"/>
        <v>2029</v>
      </c>
      <c r="E240" s="18">
        <f t="shared" si="53"/>
        <v>255605.10999999993</v>
      </c>
      <c r="F240" s="18">
        <v>7322.19</v>
      </c>
      <c r="G240" s="19">
        <f t="shared" si="48"/>
        <v>2.8646493021990061E-2</v>
      </c>
      <c r="H240" s="18">
        <f t="shared" si="56"/>
        <v>0</v>
      </c>
      <c r="I240" s="18">
        <f t="shared" si="49"/>
        <v>262927.29999999993</v>
      </c>
      <c r="K240" s="18">
        <f t="shared" si="58"/>
        <v>13518.966608604182</v>
      </c>
      <c r="L240" s="19">
        <v>2.5000000000000001E-2</v>
      </c>
      <c r="M240" s="18">
        <f t="shared" si="50"/>
        <v>0</v>
      </c>
      <c r="N240" s="18">
        <f t="shared" si="54"/>
        <v>554277.6309527714</v>
      </c>
      <c r="P240" s="20">
        <f t="shared" si="55"/>
        <v>11742.05</v>
      </c>
      <c r="Q240" s="59"/>
      <c r="R240" s="22"/>
      <c r="S240" s="18">
        <f t="shared" si="59"/>
        <v>0</v>
      </c>
      <c r="T240" s="18">
        <f t="shared" si="51"/>
        <v>11742.05</v>
      </c>
      <c r="U240" s="41">
        <f>IF(SUM($U$4:U239)=1,0,IF(SUM($Q$4:Q240)&gt;39891.29,1,0))</f>
        <v>0</v>
      </c>
      <c r="V240" s="23"/>
      <c r="W240" s="23"/>
      <c r="X240" s="23"/>
      <c r="Y240" s="23"/>
      <c r="AA240" s="51"/>
      <c r="AB240" s="51"/>
      <c r="AC240" s="52"/>
      <c r="AD240" s="52"/>
      <c r="AE240" s="51"/>
      <c r="AF240" s="53"/>
      <c r="AG240" s="54"/>
      <c r="AH240" s="52"/>
      <c r="AI240" s="28"/>
      <c r="AJ240" s="55"/>
      <c r="AL240" s="66">
        <f t="shared" si="57"/>
        <v>2.8646493021990061E-2</v>
      </c>
      <c r="AV240" s="32"/>
    </row>
    <row r="241" spans="2:48" ht="16.5" thickBot="1" x14ac:dyDescent="0.3">
      <c r="B241" s="33">
        <v>238</v>
      </c>
      <c r="C241" s="34">
        <f t="shared" si="52"/>
        <v>47427</v>
      </c>
      <c r="D241" s="35">
        <f t="shared" si="47"/>
        <v>2029</v>
      </c>
      <c r="E241" s="36">
        <f t="shared" si="53"/>
        <v>262927.29999999993</v>
      </c>
      <c r="F241" s="36">
        <v>7541.86</v>
      </c>
      <c r="G241" s="37">
        <f t="shared" si="48"/>
        <v>2.8684202819562677E-2</v>
      </c>
      <c r="H241" s="36">
        <f t="shared" si="56"/>
        <v>100</v>
      </c>
      <c r="I241" s="36">
        <f t="shared" si="49"/>
        <v>270569.15999999992</v>
      </c>
      <c r="K241" s="36">
        <f t="shared" si="58"/>
        <v>13856.940773819286</v>
      </c>
      <c r="L241" s="37">
        <v>2.5000000000000001E-2</v>
      </c>
      <c r="M241" s="36">
        <f t="shared" si="50"/>
        <v>100</v>
      </c>
      <c r="N241" s="36">
        <f t="shared" si="54"/>
        <v>568234.57172659074</v>
      </c>
      <c r="P241" s="38">
        <f t="shared" si="55"/>
        <v>11742.05</v>
      </c>
      <c r="Q241" s="56"/>
      <c r="R241" s="40"/>
      <c r="S241" s="36">
        <f t="shared" si="59"/>
        <v>100</v>
      </c>
      <c r="T241" s="36">
        <f t="shared" si="51"/>
        <v>11842.05</v>
      </c>
      <c r="U241" s="41">
        <f>IF(SUM($U$4:U240)=1,0,IF(SUM($Q$4:Q241)&gt;39891.29,1,0))</f>
        <v>0</v>
      </c>
      <c r="V241" s="36"/>
      <c r="W241" s="36"/>
      <c r="X241" s="36"/>
      <c r="Y241" s="36"/>
      <c r="AA241" s="42"/>
      <c r="AB241" s="42"/>
      <c r="AC241" s="43"/>
      <c r="AD241" s="43"/>
      <c r="AE241" s="42"/>
      <c r="AF241" s="44"/>
      <c r="AG241" s="45"/>
      <c r="AH241" s="43"/>
      <c r="AI241" s="46"/>
      <c r="AJ241" s="47"/>
      <c r="AL241" s="66">
        <f t="shared" si="57"/>
        <v>2.8684202819562677E-2</v>
      </c>
      <c r="AV241" s="32"/>
    </row>
    <row r="242" spans="2:48" ht="16.5" thickBot="1" x14ac:dyDescent="0.3">
      <c r="B242" s="15">
        <v>239</v>
      </c>
      <c r="C242" s="16">
        <f t="shared" si="52"/>
        <v>47434</v>
      </c>
      <c r="D242" s="17">
        <f t="shared" si="47"/>
        <v>2029</v>
      </c>
      <c r="E242" s="18">
        <f t="shared" si="53"/>
        <v>270569.15999999992</v>
      </c>
      <c r="F242" s="18">
        <v>7768.11</v>
      </c>
      <c r="G242" s="19">
        <f t="shared" si="48"/>
        <v>2.8710256556955721E-2</v>
      </c>
      <c r="H242" s="18">
        <f t="shared" si="56"/>
        <v>0</v>
      </c>
      <c r="I242" s="18">
        <f t="shared" si="49"/>
        <v>278337.2699999999</v>
      </c>
      <c r="K242" s="18">
        <f t="shared" si="58"/>
        <v>14205.86429316477</v>
      </c>
      <c r="L242" s="19">
        <v>2.5000000000000001E-2</v>
      </c>
      <c r="M242" s="18">
        <f t="shared" si="50"/>
        <v>0</v>
      </c>
      <c r="N242" s="18">
        <f t="shared" si="54"/>
        <v>582440.43601975555</v>
      </c>
      <c r="P242" s="20">
        <f t="shared" si="55"/>
        <v>11842.05</v>
      </c>
      <c r="Q242" s="59"/>
      <c r="R242" s="22"/>
      <c r="S242" s="18">
        <f t="shared" si="59"/>
        <v>0</v>
      </c>
      <c r="T242" s="18">
        <f t="shared" si="51"/>
        <v>11842.05</v>
      </c>
      <c r="U242" s="41">
        <f>IF(SUM($U$4:U241)=1,0,IF(SUM($Q$4:Q242)&gt;39891.29,1,0))</f>
        <v>0</v>
      </c>
      <c r="V242" s="23"/>
      <c r="W242" s="23"/>
      <c r="X242" s="23"/>
      <c r="Y242" s="23"/>
      <c r="AA242" s="51"/>
      <c r="AB242" s="51"/>
      <c r="AC242" s="52"/>
      <c r="AD242" s="52"/>
      <c r="AE242" s="51"/>
      <c r="AF242" s="53"/>
      <c r="AG242" s="54"/>
      <c r="AH242" s="52"/>
      <c r="AI242" s="28"/>
      <c r="AJ242" s="55"/>
      <c r="AL242" s="66">
        <f t="shared" si="57"/>
        <v>2.8710256556955721E-2</v>
      </c>
      <c r="AV242" s="32"/>
    </row>
    <row r="243" spans="2:48" ht="16.5" thickBot="1" x14ac:dyDescent="0.3">
      <c r="B243" s="33">
        <v>240</v>
      </c>
      <c r="C243" s="34">
        <f t="shared" si="52"/>
        <v>47441</v>
      </c>
      <c r="D243" s="35">
        <f t="shared" si="47"/>
        <v>2029</v>
      </c>
      <c r="E243" s="36">
        <f t="shared" si="53"/>
        <v>278337.2699999999</v>
      </c>
      <c r="F243" s="36">
        <v>8001.16</v>
      </c>
      <c r="G243" s="37">
        <f t="shared" si="48"/>
        <v>2.8746276055664419E-2</v>
      </c>
      <c r="H243" s="36">
        <f t="shared" si="56"/>
        <v>100</v>
      </c>
      <c r="I243" s="36">
        <f t="shared" si="49"/>
        <v>286438.42999999988</v>
      </c>
      <c r="K243" s="36">
        <f t="shared" si="58"/>
        <v>14561.010900493889</v>
      </c>
      <c r="L243" s="37">
        <v>2.5000000000000001E-2</v>
      </c>
      <c r="M243" s="36">
        <f t="shared" si="50"/>
        <v>100</v>
      </c>
      <c r="N243" s="36">
        <f t="shared" si="54"/>
        <v>597101.44692024949</v>
      </c>
      <c r="P243" s="38">
        <f t="shared" si="55"/>
        <v>11842.05</v>
      </c>
      <c r="Q243" s="56"/>
      <c r="R243" s="40"/>
      <c r="S243" s="36">
        <f t="shared" si="59"/>
        <v>100</v>
      </c>
      <c r="T243" s="36">
        <f t="shared" si="51"/>
        <v>11942.05</v>
      </c>
      <c r="U243" s="41">
        <f>IF(SUM($U$4:U242)=1,0,IF(SUM($Q$4:Q243)&gt;39891.29,1,0))</f>
        <v>0</v>
      </c>
      <c r="V243" s="36"/>
      <c r="W243" s="36"/>
      <c r="X243" s="36"/>
      <c r="Y243" s="36"/>
      <c r="AA243" s="42"/>
      <c r="AB243" s="42"/>
      <c r="AC243" s="43"/>
      <c r="AD243" s="43"/>
      <c r="AE243" s="42"/>
      <c r="AF243" s="44"/>
      <c r="AG243" s="45"/>
      <c r="AH243" s="43"/>
      <c r="AI243" s="46"/>
      <c r="AJ243" s="47"/>
      <c r="AL243" s="66">
        <f t="shared" si="57"/>
        <v>2.8746276055664419E-2</v>
      </c>
      <c r="AV243" s="32"/>
    </row>
    <row r="244" spans="2:48" ht="16.5" thickBot="1" x14ac:dyDescent="0.3">
      <c r="B244" s="15">
        <v>241</v>
      </c>
      <c r="C244" s="16">
        <f t="shared" si="52"/>
        <v>47448</v>
      </c>
      <c r="D244" s="17">
        <f t="shared" si="47"/>
        <v>2029</v>
      </c>
      <c r="E244" s="18">
        <f t="shared" si="53"/>
        <v>286438.42999999988</v>
      </c>
      <c r="F244" s="18">
        <v>8241.19</v>
      </c>
      <c r="G244" s="19">
        <f t="shared" si="48"/>
        <v>2.8771244137876347E-2</v>
      </c>
      <c r="H244" s="18">
        <f t="shared" si="56"/>
        <v>0</v>
      </c>
      <c r="I244" s="18">
        <f t="shared" si="49"/>
        <v>294679.61999999988</v>
      </c>
      <c r="K244" s="18">
        <f t="shared" si="58"/>
        <v>14927.536173006238</v>
      </c>
      <c r="L244" s="19">
        <v>2.5000000000000001E-2</v>
      </c>
      <c r="M244" s="18">
        <f t="shared" si="50"/>
        <v>0</v>
      </c>
      <c r="N244" s="18">
        <f t="shared" si="54"/>
        <v>612028.98309325578</v>
      </c>
      <c r="P244" s="20">
        <f t="shared" si="55"/>
        <v>11942.05</v>
      </c>
      <c r="Q244" s="59"/>
      <c r="R244" s="22"/>
      <c r="S244" s="18">
        <f t="shared" si="59"/>
        <v>0</v>
      </c>
      <c r="T244" s="18">
        <f t="shared" si="51"/>
        <v>11942.05</v>
      </c>
      <c r="U244" s="41">
        <f>IF(SUM($U$4:U243)=1,0,IF(SUM($Q$4:Q244)&gt;39891.29,1,0))</f>
        <v>0</v>
      </c>
      <c r="V244" s="23"/>
      <c r="W244" s="23"/>
      <c r="X244" s="23"/>
      <c r="Y244" s="23"/>
      <c r="AA244" s="51"/>
      <c r="AB244" s="51"/>
      <c r="AC244" s="52"/>
      <c r="AD244" s="52"/>
      <c r="AE244" s="51"/>
      <c r="AF244" s="53"/>
      <c r="AG244" s="54"/>
      <c r="AH244" s="52"/>
      <c r="AI244" s="28"/>
      <c r="AJ244" s="55"/>
      <c r="AL244" s="66">
        <f t="shared" si="57"/>
        <v>2.8771244137876347E-2</v>
      </c>
      <c r="AV244" s="32"/>
    </row>
    <row r="245" spans="2:48" ht="16.5" thickBot="1" x14ac:dyDescent="0.3">
      <c r="B245" s="33">
        <v>242</v>
      </c>
      <c r="C245" s="34">
        <f t="shared" si="52"/>
        <v>47455</v>
      </c>
      <c r="D245" s="35">
        <f t="shared" si="47"/>
        <v>2029</v>
      </c>
      <c r="E245" s="36">
        <f t="shared" si="53"/>
        <v>294679.61999999988</v>
      </c>
      <c r="F245" s="36">
        <v>8488.43</v>
      </c>
      <c r="G245" s="37">
        <f t="shared" si="48"/>
        <v>2.8805622865945069E-2</v>
      </c>
      <c r="H245" s="36">
        <f t="shared" si="56"/>
        <v>100</v>
      </c>
      <c r="I245" s="36">
        <f t="shared" si="49"/>
        <v>303268.04999999987</v>
      </c>
      <c r="K245" s="36">
        <f t="shared" si="58"/>
        <v>15300.724577331395</v>
      </c>
      <c r="L245" s="37">
        <v>2.5000000000000001E-2</v>
      </c>
      <c r="M245" s="36">
        <f t="shared" si="50"/>
        <v>100</v>
      </c>
      <c r="N245" s="36">
        <f t="shared" si="54"/>
        <v>627429.70767058723</v>
      </c>
      <c r="P245" s="38">
        <f t="shared" si="55"/>
        <v>11942.05</v>
      </c>
      <c r="Q245" s="56"/>
      <c r="R245" s="40"/>
      <c r="S245" s="36">
        <f t="shared" si="59"/>
        <v>100</v>
      </c>
      <c r="T245" s="36">
        <f t="shared" si="51"/>
        <v>12042.05</v>
      </c>
      <c r="U245" s="41">
        <f>IF(SUM($U$4:U244)=1,0,IF(SUM($Q$4:Q245)&gt;39891.29,1,0))</f>
        <v>0</v>
      </c>
      <c r="V245" s="36"/>
      <c r="W245" s="36"/>
      <c r="X245" s="36"/>
      <c r="Y245" s="36"/>
      <c r="AA245" s="42"/>
      <c r="AB245" s="42"/>
      <c r="AC245" s="43"/>
      <c r="AD245" s="43"/>
      <c r="AE245" s="42"/>
      <c r="AF245" s="44"/>
      <c r="AG245" s="45"/>
      <c r="AH245" s="43"/>
      <c r="AI245" s="46"/>
      <c r="AJ245" s="47"/>
      <c r="AL245" s="66">
        <f t="shared" si="57"/>
        <v>2.8805622865945069E-2</v>
      </c>
      <c r="AV245" s="32"/>
    </row>
    <row r="246" spans="2:48" ht="16.5" thickBot="1" x14ac:dyDescent="0.3">
      <c r="B246" s="15">
        <v>243</v>
      </c>
      <c r="C246" s="16">
        <f t="shared" si="52"/>
        <v>47462</v>
      </c>
      <c r="D246" s="17">
        <f t="shared" si="47"/>
        <v>2029</v>
      </c>
      <c r="E246" s="18">
        <f t="shared" si="53"/>
        <v>303268.04999999987</v>
      </c>
      <c r="F246" s="18">
        <v>8743.08</v>
      </c>
      <c r="G246" s="19">
        <f t="shared" si="48"/>
        <v>2.8829545347754251E-2</v>
      </c>
      <c r="H246" s="18">
        <f t="shared" si="56"/>
        <v>0</v>
      </c>
      <c r="I246" s="18">
        <f t="shared" si="49"/>
        <v>312011.12999999989</v>
      </c>
      <c r="K246" s="18">
        <f t="shared" si="58"/>
        <v>15685.742691764681</v>
      </c>
      <c r="L246" s="19">
        <v>2.5000000000000001E-2</v>
      </c>
      <c r="M246" s="18">
        <f t="shared" si="50"/>
        <v>0</v>
      </c>
      <c r="N246" s="18">
        <f t="shared" si="54"/>
        <v>643115.45036235196</v>
      </c>
      <c r="P246" s="20">
        <f t="shared" si="55"/>
        <v>12042.05</v>
      </c>
      <c r="Q246" s="59"/>
      <c r="R246" s="22"/>
      <c r="S246" s="18">
        <f t="shared" si="59"/>
        <v>0</v>
      </c>
      <c r="T246" s="18">
        <f t="shared" si="51"/>
        <v>12042.05</v>
      </c>
      <c r="U246" s="41">
        <f>IF(SUM($U$4:U245)=1,0,IF(SUM($Q$4:Q246)&gt;39891.29,1,0))</f>
        <v>0</v>
      </c>
      <c r="V246" s="23"/>
      <c r="W246" s="23"/>
      <c r="X246" s="23"/>
      <c r="Y246" s="23"/>
      <c r="AA246" s="51"/>
      <c r="AB246" s="51"/>
      <c r="AC246" s="52"/>
      <c r="AD246" s="52"/>
      <c r="AE246" s="51"/>
      <c r="AF246" s="53"/>
      <c r="AG246" s="54"/>
      <c r="AH246" s="52"/>
      <c r="AI246" s="28"/>
      <c r="AJ246" s="55"/>
      <c r="AL246" s="66">
        <f t="shared" si="57"/>
        <v>2.8829545347754251E-2</v>
      </c>
      <c r="AV246" s="32"/>
    </row>
    <row r="247" spans="2:48" ht="16.5" thickBot="1" x14ac:dyDescent="0.3">
      <c r="B247" s="33">
        <v>244</v>
      </c>
      <c r="C247" s="34">
        <f t="shared" si="52"/>
        <v>47469</v>
      </c>
      <c r="D247" s="35">
        <f t="shared" si="47"/>
        <v>2029</v>
      </c>
      <c r="E247" s="36">
        <f t="shared" si="53"/>
        <v>312011.12999999989</v>
      </c>
      <c r="F247" s="36">
        <v>9005.3700000000008</v>
      </c>
      <c r="G247" s="37">
        <f t="shared" si="48"/>
        <v>2.8862335776291069E-2</v>
      </c>
      <c r="H247" s="36">
        <f t="shared" si="56"/>
        <v>100</v>
      </c>
      <c r="I247" s="36">
        <f t="shared" si="49"/>
        <v>321116.49999999988</v>
      </c>
      <c r="K247" s="36">
        <f t="shared" si="58"/>
        <v>16077.8862590588</v>
      </c>
      <c r="L247" s="37">
        <v>2.5000000000000001E-2</v>
      </c>
      <c r="M247" s="36">
        <f t="shared" si="50"/>
        <v>100</v>
      </c>
      <c r="N247" s="36">
        <f t="shared" si="54"/>
        <v>659293.3366214108</v>
      </c>
      <c r="P247" s="38">
        <f t="shared" si="55"/>
        <v>12042.05</v>
      </c>
      <c r="Q247" s="56"/>
      <c r="R247" s="40"/>
      <c r="S247" s="36">
        <f t="shared" si="59"/>
        <v>100</v>
      </c>
      <c r="T247" s="36">
        <f t="shared" si="51"/>
        <v>12142.05</v>
      </c>
      <c r="U247" s="41">
        <f>IF(SUM($U$4:U246)=1,0,IF(SUM($Q$4:Q247)&gt;39891.29,1,0))</f>
        <v>0</v>
      </c>
      <c r="V247" s="36"/>
      <c r="W247" s="36"/>
      <c r="X247" s="36"/>
      <c r="Y247" s="36"/>
      <c r="AA247" s="42"/>
      <c r="AB247" s="42"/>
      <c r="AC247" s="43"/>
      <c r="AD247" s="43"/>
      <c r="AE247" s="42"/>
      <c r="AF247" s="44"/>
      <c r="AG247" s="45"/>
      <c r="AH247" s="43"/>
      <c r="AI247" s="46"/>
      <c r="AJ247" s="47"/>
      <c r="AL247" s="66">
        <f t="shared" si="57"/>
        <v>2.8862335776291069E-2</v>
      </c>
      <c r="AV247" s="32"/>
    </row>
    <row r="248" spans="2:48" ht="16.5" thickBot="1" x14ac:dyDescent="0.3">
      <c r="B248" s="15">
        <v>245</v>
      </c>
      <c r="C248" s="16">
        <f t="shared" si="52"/>
        <v>47476</v>
      </c>
      <c r="D248" s="17">
        <f t="shared" si="47"/>
        <v>2029</v>
      </c>
      <c r="E248" s="18">
        <f t="shared" si="53"/>
        <v>321116.49999999988</v>
      </c>
      <c r="F248" s="18">
        <v>9275.5300000000007</v>
      </c>
      <c r="G248" s="19">
        <f t="shared" si="48"/>
        <v>2.8885248811568398E-2</v>
      </c>
      <c r="H248" s="18">
        <f t="shared" si="56"/>
        <v>0</v>
      </c>
      <c r="I248" s="18">
        <f t="shared" si="49"/>
        <v>330392.02999999991</v>
      </c>
      <c r="K248" s="18">
        <f t="shared" si="58"/>
        <v>16482.333415535271</v>
      </c>
      <c r="L248" s="19">
        <v>2.5000000000000001E-2</v>
      </c>
      <c r="M248" s="18">
        <f t="shared" si="50"/>
        <v>0</v>
      </c>
      <c r="N248" s="18">
        <f t="shared" si="54"/>
        <v>675775.67003694607</v>
      </c>
      <c r="P248" s="20">
        <f t="shared" si="55"/>
        <v>12142.05</v>
      </c>
      <c r="Q248" s="59"/>
      <c r="R248" s="22"/>
      <c r="S248" s="18">
        <f t="shared" si="59"/>
        <v>0</v>
      </c>
      <c r="T248" s="18">
        <f t="shared" si="51"/>
        <v>12142.05</v>
      </c>
      <c r="U248" s="41">
        <f>IF(SUM($U$4:U247)=1,0,IF(SUM($Q$4:Q248)&gt;39891.29,1,0))</f>
        <v>0</v>
      </c>
      <c r="V248" s="23"/>
      <c r="W248" s="23"/>
      <c r="X248" s="23"/>
      <c r="Y248" s="23"/>
      <c r="AA248" s="51"/>
      <c r="AB248" s="51"/>
      <c r="AC248" s="52"/>
      <c r="AD248" s="52"/>
      <c r="AE248" s="51"/>
      <c r="AF248" s="53"/>
      <c r="AG248" s="54"/>
      <c r="AH248" s="52"/>
      <c r="AI248" s="28"/>
      <c r="AJ248" s="55"/>
      <c r="AL248" s="66">
        <f t="shared" si="57"/>
        <v>2.8885248811568398E-2</v>
      </c>
      <c r="AV248" s="32"/>
    </row>
    <row r="249" spans="2:48" ht="16.5" thickBot="1" x14ac:dyDescent="0.3">
      <c r="B249" s="116">
        <v>246</v>
      </c>
      <c r="C249" s="117">
        <f t="shared" si="52"/>
        <v>47483</v>
      </c>
      <c r="D249" s="118">
        <f t="shared" si="47"/>
        <v>2029</v>
      </c>
      <c r="E249" s="119">
        <f t="shared" si="53"/>
        <v>330392.02999999991</v>
      </c>
      <c r="F249" s="119">
        <v>9553.7999999999993</v>
      </c>
      <c r="G249" s="120">
        <f t="shared" si="48"/>
        <v>2.8916557097336766E-2</v>
      </c>
      <c r="H249" s="119">
        <f t="shared" si="56"/>
        <v>100</v>
      </c>
      <c r="I249" s="119">
        <f t="shared" si="49"/>
        <v>340045.8299999999</v>
      </c>
      <c r="K249" s="119">
        <f t="shared" si="58"/>
        <v>16894.391750923653</v>
      </c>
      <c r="L249" s="120">
        <v>2.5000000000000001E-2</v>
      </c>
      <c r="M249" s="119">
        <f t="shared" si="50"/>
        <v>100</v>
      </c>
      <c r="N249" s="119">
        <f t="shared" si="54"/>
        <v>692770.06178786978</v>
      </c>
      <c r="P249" s="121">
        <f t="shared" si="55"/>
        <v>12142.05</v>
      </c>
      <c r="Q249" s="122"/>
      <c r="R249" s="123"/>
      <c r="S249" s="119">
        <f t="shared" si="59"/>
        <v>100</v>
      </c>
      <c r="T249" s="119">
        <f t="shared" si="51"/>
        <v>12242.05</v>
      </c>
      <c r="U249" s="41">
        <f>IF(SUM($U$4:U248)=1,0,IF(SUM($Q$4:Q249)&gt;39891.29,1,0))</f>
        <v>0</v>
      </c>
      <c r="V249" s="119"/>
      <c r="W249" s="119"/>
      <c r="X249" s="119"/>
      <c r="Y249" s="119"/>
      <c r="AA249" s="124"/>
      <c r="AB249" s="124"/>
      <c r="AC249" s="125"/>
      <c r="AD249" s="125"/>
      <c r="AE249" s="124"/>
      <c r="AF249" s="126"/>
      <c r="AG249" s="127"/>
      <c r="AH249" s="125"/>
      <c r="AI249" s="128"/>
      <c r="AJ249" s="129"/>
      <c r="AL249" s="66">
        <f t="shared" si="57"/>
        <v>2.8916557097336766E-2</v>
      </c>
      <c r="AV249" s="32"/>
    </row>
    <row r="250" spans="2:48" ht="16.5" thickBot="1" x14ac:dyDescent="0.3">
      <c r="B250" s="130">
        <v>247</v>
      </c>
      <c r="C250" s="131">
        <f t="shared" si="52"/>
        <v>47490</v>
      </c>
      <c r="D250" s="132">
        <f t="shared" si="47"/>
        <v>2030</v>
      </c>
      <c r="E250" s="133">
        <f t="shared" si="53"/>
        <v>340045.8299999999</v>
      </c>
      <c r="F250" s="133">
        <v>9840.41</v>
      </c>
      <c r="G250" s="134">
        <f t="shared" si="48"/>
        <v>2.8938481615845731E-2</v>
      </c>
      <c r="H250" s="133">
        <f t="shared" si="56"/>
        <v>0</v>
      </c>
      <c r="I250" s="133">
        <f t="shared" si="49"/>
        <v>349886.23999999987</v>
      </c>
      <c r="K250" s="133">
        <f t="shared" si="58"/>
        <v>17319.251544696745</v>
      </c>
      <c r="L250" s="134">
        <v>2.5000000000000001E-2</v>
      </c>
      <c r="M250" s="133">
        <f t="shared" si="50"/>
        <v>0</v>
      </c>
      <c r="N250" s="133">
        <f t="shared" si="54"/>
        <v>710089.31333256653</v>
      </c>
      <c r="P250" s="135">
        <f t="shared" si="55"/>
        <v>12242.05</v>
      </c>
      <c r="Q250" s="136"/>
      <c r="R250" s="22"/>
      <c r="S250" s="133">
        <f t="shared" si="59"/>
        <v>0</v>
      </c>
      <c r="T250" s="133">
        <f t="shared" si="51"/>
        <v>12242.05</v>
      </c>
      <c r="U250" s="41">
        <f>IF(SUM($U$4:U249)=1,0,IF(SUM($Q$4:Q250)&gt;39891.29,1,0))</f>
        <v>0</v>
      </c>
      <c r="V250" s="137"/>
      <c r="W250" s="137"/>
      <c r="X250" s="137"/>
      <c r="Y250" s="137"/>
      <c r="AA250" s="138"/>
      <c r="AB250" s="138"/>
      <c r="AC250" s="139"/>
      <c r="AD250" s="139"/>
      <c r="AE250" s="138"/>
      <c r="AF250" s="140"/>
      <c r="AG250" s="141"/>
      <c r="AH250" s="139"/>
      <c r="AI250" s="142"/>
      <c r="AJ250" s="143"/>
      <c r="AL250" s="66">
        <f t="shared" si="57"/>
        <v>2.8938481615845731E-2</v>
      </c>
      <c r="AV250" s="32"/>
    </row>
    <row r="251" spans="2:48" ht="16.5" thickBot="1" x14ac:dyDescent="0.3">
      <c r="B251" s="33">
        <v>248</v>
      </c>
      <c r="C251" s="34">
        <f t="shared" si="52"/>
        <v>47497</v>
      </c>
      <c r="D251" s="35">
        <f t="shared" si="47"/>
        <v>2030</v>
      </c>
      <c r="E251" s="36">
        <f t="shared" si="53"/>
        <v>349886.23999999987</v>
      </c>
      <c r="F251" s="36">
        <v>10135.629999999999</v>
      </c>
      <c r="G251" s="37">
        <f t="shared" si="48"/>
        <v>2.8968358401290667E-2</v>
      </c>
      <c r="H251" s="36">
        <f t="shared" si="56"/>
        <v>100</v>
      </c>
      <c r="I251" s="36">
        <f t="shared" si="49"/>
        <v>360121.86999999988</v>
      </c>
      <c r="K251" s="36">
        <f t="shared" si="58"/>
        <v>17752.232833314163</v>
      </c>
      <c r="L251" s="37">
        <v>2.5000000000000001E-2</v>
      </c>
      <c r="M251" s="36">
        <f t="shared" si="50"/>
        <v>100</v>
      </c>
      <c r="N251" s="36">
        <f t="shared" si="54"/>
        <v>727941.54616588075</v>
      </c>
      <c r="P251" s="38">
        <f t="shared" si="55"/>
        <v>12242.05</v>
      </c>
      <c r="Q251" s="56"/>
      <c r="R251" s="40"/>
      <c r="S251" s="36">
        <f>S249</f>
        <v>100</v>
      </c>
      <c r="T251" s="36">
        <f t="shared" si="51"/>
        <v>12342.05</v>
      </c>
      <c r="U251" s="41">
        <f>IF(SUM($U$4:U250)=1,0,IF(SUM($Q$4:Q251)&gt;39891.29,1,0))</f>
        <v>0</v>
      </c>
      <c r="V251" s="36"/>
      <c r="W251" s="36"/>
      <c r="X251" s="36"/>
      <c r="Y251" s="36"/>
      <c r="AA251" s="42"/>
      <c r="AB251" s="42"/>
      <c r="AC251" s="43"/>
      <c r="AD251" s="43"/>
      <c r="AE251" s="42"/>
      <c r="AF251" s="44"/>
      <c r="AG251" s="45"/>
      <c r="AH251" s="43"/>
      <c r="AI251" s="46"/>
      <c r="AJ251" s="47"/>
      <c r="AL251" s="66">
        <f t="shared" si="57"/>
        <v>2.8968358401290667E-2</v>
      </c>
      <c r="AV251" s="32"/>
    </row>
    <row r="252" spans="2:48" ht="16.5" thickBot="1" x14ac:dyDescent="0.3">
      <c r="B252" s="15">
        <v>249</v>
      </c>
      <c r="C252" s="16">
        <f t="shared" si="52"/>
        <v>47504</v>
      </c>
      <c r="D252" s="17">
        <f t="shared" si="47"/>
        <v>2030</v>
      </c>
      <c r="E252" s="18">
        <f t="shared" si="53"/>
        <v>360121.86999999988</v>
      </c>
      <c r="F252" s="18">
        <v>10439.700000000001</v>
      </c>
      <c r="G252" s="19">
        <f t="shared" si="48"/>
        <v>2.8989352965428077E-2</v>
      </c>
      <c r="H252" s="18">
        <f t="shared" si="56"/>
        <v>0</v>
      </c>
      <c r="I252" s="18">
        <f t="shared" si="49"/>
        <v>370561.56999999989</v>
      </c>
      <c r="K252" s="18">
        <f t="shared" si="58"/>
        <v>18198.538654147018</v>
      </c>
      <c r="L252" s="19">
        <v>2.5000000000000001E-2</v>
      </c>
      <c r="M252" s="18">
        <f t="shared" si="50"/>
        <v>0</v>
      </c>
      <c r="N252" s="18">
        <f t="shared" si="54"/>
        <v>746140.08482002781</v>
      </c>
      <c r="P252" s="20">
        <f t="shared" si="55"/>
        <v>12342.05</v>
      </c>
      <c r="Q252" s="59"/>
      <c r="R252" s="22"/>
      <c r="S252" s="18">
        <f t="shared" si="59"/>
        <v>0</v>
      </c>
      <c r="T252" s="18">
        <f t="shared" si="51"/>
        <v>12342.05</v>
      </c>
      <c r="U252" s="41">
        <f>IF(SUM($U$4:U251)=1,0,IF(SUM($Q$4:Q252)&gt;39891.29,1,0))</f>
        <v>0</v>
      </c>
      <c r="V252" s="23"/>
      <c r="W252" s="23"/>
      <c r="X252" s="23"/>
      <c r="Y252" s="23"/>
      <c r="AA252" s="51"/>
      <c r="AB252" s="51"/>
      <c r="AC252" s="52"/>
      <c r="AD252" s="52"/>
      <c r="AE252" s="51"/>
      <c r="AF252" s="53"/>
      <c r="AG252" s="54"/>
      <c r="AH252" s="52"/>
      <c r="AI252" s="28"/>
      <c r="AJ252" s="55"/>
      <c r="AL252" s="66">
        <f t="shared" si="57"/>
        <v>2.8989352965428077E-2</v>
      </c>
      <c r="AV252" s="32"/>
    </row>
    <row r="253" spans="2:48" ht="16.5" thickBot="1" x14ac:dyDescent="0.3">
      <c r="B253" s="33">
        <v>250</v>
      </c>
      <c r="C253" s="34">
        <f t="shared" si="52"/>
        <v>47511</v>
      </c>
      <c r="D253" s="35">
        <f t="shared" si="47"/>
        <v>2030</v>
      </c>
      <c r="E253" s="36">
        <f t="shared" si="53"/>
        <v>370561.56999999989</v>
      </c>
      <c r="F253" s="36">
        <v>10752.89</v>
      </c>
      <c r="G253" s="37">
        <f t="shared" si="48"/>
        <v>2.9017822868140381E-2</v>
      </c>
      <c r="H253" s="36">
        <f t="shared" si="56"/>
        <v>100</v>
      </c>
      <c r="I253" s="36">
        <f t="shared" si="49"/>
        <v>381414.4599999999</v>
      </c>
      <c r="K253" s="36">
        <f t="shared" si="58"/>
        <v>18653.502120500696</v>
      </c>
      <c r="L253" s="37">
        <v>2.5000000000000001E-2</v>
      </c>
      <c r="M253" s="36">
        <f t="shared" si="50"/>
        <v>100</v>
      </c>
      <c r="N253" s="36">
        <f t="shared" si="54"/>
        <v>764893.58694052848</v>
      </c>
      <c r="P253" s="38">
        <f t="shared" si="55"/>
        <v>12342.05</v>
      </c>
      <c r="Q253" s="56"/>
      <c r="R253" s="40"/>
      <c r="S253" s="36">
        <f t="shared" si="59"/>
        <v>100</v>
      </c>
      <c r="T253" s="36">
        <f t="shared" si="51"/>
        <v>12442.05</v>
      </c>
      <c r="U253" s="41">
        <f>IF(SUM($U$4:U252)=1,0,IF(SUM($Q$4:Q253)&gt;39891.29,1,0))</f>
        <v>0</v>
      </c>
      <c r="V253" s="36"/>
      <c r="W253" s="36"/>
      <c r="X253" s="36"/>
      <c r="Y253" s="36"/>
      <c r="AA253" s="42"/>
      <c r="AB253" s="42"/>
      <c r="AC253" s="43"/>
      <c r="AD253" s="43"/>
      <c r="AE253" s="42"/>
      <c r="AF253" s="44"/>
      <c r="AG253" s="45"/>
      <c r="AH253" s="43"/>
      <c r="AI253" s="46"/>
      <c r="AJ253" s="47"/>
      <c r="AL253" s="66">
        <f t="shared" si="57"/>
        <v>2.9017822868140381E-2</v>
      </c>
      <c r="AV253" s="32"/>
    </row>
    <row r="254" spans="2:48" ht="16.5" thickBot="1" x14ac:dyDescent="0.3">
      <c r="B254" s="15">
        <v>251</v>
      </c>
      <c r="C254" s="16">
        <f t="shared" si="52"/>
        <v>47518</v>
      </c>
      <c r="D254" s="17">
        <f t="shared" si="47"/>
        <v>2030</v>
      </c>
      <c r="E254" s="18">
        <f t="shared" si="53"/>
        <v>381414.4599999999</v>
      </c>
      <c r="F254" s="18">
        <v>11075.47</v>
      </c>
      <c r="G254" s="19">
        <f t="shared" si="48"/>
        <v>2.9037887027146277E-2</v>
      </c>
      <c r="H254" s="18">
        <f t="shared" si="56"/>
        <v>0</v>
      </c>
      <c r="I254" s="18">
        <f t="shared" si="49"/>
        <v>392489.92999999988</v>
      </c>
      <c r="K254" s="18">
        <f t="shared" si="58"/>
        <v>19122.339673513212</v>
      </c>
      <c r="L254" s="19">
        <v>2.5000000000000001E-2</v>
      </c>
      <c r="M254" s="18">
        <f t="shared" si="50"/>
        <v>0</v>
      </c>
      <c r="N254" s="18">
        <f t="shared" si="54"/>
        <v>784015.92661404167</v>
      </c>
      <c r="P254" s="20">
        <f t="shared" si="55"/>
        <v>12442.05</v>
      </c>
      <c r="Q254" s="59"/>
      <c r="R254" s="22"/>
      <c r="S254" s="18">
        <f t="shared" si="59"/>
        <v>0</v>
      </c>
      <c r="T254" s="18">
        <f t="shared" si="51"/>
        <v>12442.05</v>
      </c>
      <c r="U254" s="41">
        <f>IF(SUM($U$4:U253)=1,0,IF(SUM($Q$4:Q254)&gt;39891.29,1,0))</f>
        <v>0</v>
      </c>
      <c r="V254" s="23"/>
      <c r="W254" s="23"/>
      <c r="X254" s="23"/>
      <c r="Y254" s="23"/>
      <c r="AA254" s="51"/>
      <c r="AB254" s="51"/>
      <c r="AC254" s="52"/>
      <c r="AD254" s="52"/>
      <c r="AE254" s="51"/>
      <c r="AF254" s="53"/>
      <c r="AG254" s="54"/>
      <c r="AH254" s="52"/>
      <c r="AI254" s="28"/>
      <c r="AJ254" s="55"/>
      <c r="AL254" s="66">
        <f t="shared" si="57"/>
        <v>2.9037887027146277E-2</v>
      </c>
      <c r="AV254" s="32"/>
    </row>
    <row r="255" spans="2:48" ht="16.5" thickBot="1" x14ac:dyDescent="0.3">
      <c r="B255" s="33">
        <v>252</v>
      </c>
      <c r="C255" s="34">
        <f t="shared" si="52"/>
        <v>47525</v>
      </c>
      <c r="D255" s="35">
        <f t="shared" si="47"/>
        <v>2030</v>
      </c>
      <c r="E255" s="36">
        <f t="shared" si="53"/>
        <v>392489.92999999988</v>
      </c>
      <c r="F255" s="36">
        <v>11407.74</v>
      </c>
      <c r="G255" s="37">
        <f t="shared" si="48"/>
        <v>2.9065051426924515E-2</v>
      </c>
      <c r="H255" s="36">
        <f t="shared" si="56"/>
        <v>100</v>
      </c>
      <c r="I255" s="36">
        <f t="shared" si="49"/>
        <v>403997.66999999987</v>
      </c>
      <c r="K255" s="36">
        <f t="shared" si="58"/>
        <v>19600.398165351042</v>
      </c>
      <c r="L255" s="37">
        <v>2.5000000000000001E-2</v>
      </c>
      <c r="M255" s="36">
        <f t="shared" si="50"/>
        <v>100</v>
      </c>
      <c r="N255" s="36">
        <f t="shared" si="54"/>
        <v>803716.32477939269</v>
      </c>
      <c r="P255" s="38">
        <f t="shared" si="55"/>
        <v>12442.05</v>
      </c>
      <c r="Q255" s="56"/>
      <c r="R255" s="40"/>
      <c r="S255" s="36">
        <f t="shared" si="59"/>
        <v>100</v>
      </c>
      <c r="T255" s="36">
        <f t="shared" si="51"/>
        <v>12542.05</v>
      </c>
      <c r="U255" s="41">
        <f>IF(SUM($U$4:U254)=1,0,IF(SUM($Q$4:Q255)&gt;39891.29,1,0))</f>
        <v>0</v>
      </c>
      <c r="V255" s="36"/>
      <c r="W255" s="36"/>
      <c r="X255" s="36"/>
      <c r="Y255" s="36"/>
      <c r="AA255" s="42"/>
      <c r="AB255" s="42"/>
      <c r="AC255" s="43"/>
      <c r="AD255" s="43"/>
      <c r="AE255" s="42"/>
      <c r="AF255" s="44"/>
      <c r="AG255" s="45"/>
      <c r="AH255" s="43"/>
      <c r="AI255" s="46"/>
      <c r="AJ255" s="47"/>
      <c r="AL255" s="66">
        <f t="shared" si="57"/>
        <v>2.9065051426924515E-2</v>
      </c>
      <c r="AV255" s="32"/>
    </row>
    <row r="256" spans="2:48" ht="16.5" thickBot="1" x14ac:dyDescent="0.3">
      <c r="B256" s="15">
        <v>253</v>
      </c>
      <c r="C256" s="16">
        <f t="shared" si="52"/>
        <v>47532</v>
      </c>
      <c r="D256" s="17">
        <f t="shared" si="47"/>
        <v>2030</v>
      </c>
      <c r="E256" s="18">
        <f t="shared" si="53"/>
        <v>403997.66999999987</v>
      </c>
      <c r="F256" s="18">
        <v>11749.97</v>
      </c>
      <c r="G256" s="19">
        <f t="shared" si="48"/>
        <v>2.9084251896799314E-2</v>
      </c>
      <c r="H256" s="18">
        <f t="shared" si="56"/>
        <v>0</v>
      </c>
      <c r="I256" s="18">
        <f t="shared" si="49"/>
        <v>415747.63999999984</v>
      </c>
      <c r="K256" s="18">
        <f t="shared" si="58"/>
        <v>20092.908119484819</v>
      </c>
      <c r="L256" s="19">
        <v>2.5000000000000001E-2</v>
      </c>
      <c r="M256" s="18">
        <f t="shared" si="50"/>
        <v>0</v>
      </c>
      <c r="N256" s="18">
        <f t="shared" si="54"/>
        <v>823809.23289887747</v>
      </c>
      <c r="P256" s="20">
        <f t="shared" si="55"/>
        <v>12542.05</v>
      </c>
      <c r="Q256" s="59"/>
      <c r="R256" s="22"/>
      <c r="S256" s="18">
        <f t="shared" si="59"/>
        <v>0</v>
      </c>
      <c r="T256" s="18">
        <f t="shared" si="51"/>
        <v>12542.05</v>
      </c>
      <c r="U256" s="41">
        <f>IF(SUM($U$4:U255)=1,0,IF(SUM($Q$4:Q256)&gt;39891.29,1,0))</f>
        <v>0</v>
      </c>
      <c r="V256" s="23"/>
      <c r="W256" s="23"/>
      <c r="X256" s="23"/>
      <c r="Y256" s="23"/>
      <c r="AA256" s="51"/>
      <c r="AB256" s="51"/>
      <c r="AC256" s="52"/>
      <c r="AD256" s="52"/>
      <c r="AE256" s="51"/>
      <c r="AF256" s="53"/>
      <c r="AG256" s="54"/>
      <c r="AH256" s="52"/>
      <c r="AI256" s="28"/>
      <c r="AJ256" s="55"/>
      <c r="AL256" s="66">
        <f t="shared" si="57"/>
        <v>2.9084251896799314E-2</v>
      </c>
      <c r="AV256" s="32"/>
    </row>
    <row r="257" spans="2:48" ht="16.5" thickBot="1" x14ac:dyDescent="0.3">
      <c r="B257" s="33">
        <v>254</v>
      </c>
      <c r="C257" s="34">
        <f t="shared" si="52"/>
        <v>47539</v>
      </c>
      <c r="D257" s="35">
        <f t="shared" si="47"/>
        <v>2030</v>
      </c>
      <c r="E257" s="36">
        <f t="shared" si="53"/>
        <v>415747.63999999984</v>
      </c>
      <c r="F257" s="36">
        <v>12102.47</v>
      </c>
      <c r="G257" s="37">
        <f t="shared" si="48"/>
        <v>2.9110135177195483E-2</v>
      </c>
      <c r="H257" s="36">
        <f t="shared" si="56"/>
        <v>100</v>
      </c>
      <c r="I257" s="36">
        <f t="shared" si="49"/>
        <v>427950.10999999981</v>
      </c>
      <c r="K257" s="36">
        <f t="shared" si="58"/>
        <v>20595.230822471938</v>
      </c>
      <c r="L257" s="37">
        <v>2.5000000000000001E-2</v>
      </c>
      <c r="M257" s="36">
        <f t="shared" si="50"/>
        <v>100</v>
      </c>
      <c r="N257" s="36">
        <f t="shared" si="54"/>
        <v>844504.46372134937</v>
      </c>
      <c r="P257" s="38">
        <f t="shared" si="55"/>
        <v>12542.05</v>
      </c>
      <c r="Q257" s="56"/>
      <c r="R257" s="40"/>
      <c r="S257" s="36">
        <f t="shared" si="59"/>
        <v>100</v>
      </c>
      <c r="T257" s="36">
        <f t="shared" si="51"/>
        <v>12642.05</v>
      </c>
      <c r="U257" s="41">
        <f>IF(SUM($U$4:U256)=1,0,IF(SUM($Q$4:Q257)&gt;39891.29,1,0))</f>
        <v>0</v>
      </c>
      <c r="V257" s="36"/>
      <c r="W257" s="36"/>
      <c r="X257" s="36"/>
      <c r="Y257" s="36"/>
      <c r="AA257" s="42"/>
      <c r="AB257" s="42"/>
      <c r="AC257" s="43"/>
      <c r="AD257" s="43"/>
      <c r="AE257" s="42"/>
      <c r="AF257" s="44"/>
      <c r="AG257" s="45"/>
      <c r="AH257" s="43"/>
      <c r="AI257" s="46"/>
      <c r="AJ257" s="47"/>
      <c r="AL257" s="66">
        <f t="shared" si="57"/>
        <v>2.9110135177195483E-2</v>
      </c>
      <c r="AV257" s="32"/>
    </row>
    <row r="258" spans="2:48" ht="16.5" thickBot="1" x14ac:dyDescent="0.3">
      <c r="B258" s="15">
        <v>255</v>
      </c>
      <c r="C258" s="16">
        <f t="shared" si="52"/>
        <v>47546</v>
      </c>
      <c r="D258" s="17">
        <f t="shared" si="47"/>
        <v>2030</v>
      </c>
      <c r="E258" s="18">
        <f t="shared" si="53"/>
        <v>427950.10999999981</v>
      </c>
      <c r="F258" s="18">
        <v>12465.54</v>
      </c>
      <c r="G258" s="19">
        <f t="shared" si="48"/>
        <v>2.9128488832494998E-2</v>
      </c>
      <c r="H258" s="18">
        <f t="shared" si="56"/>
        <v>0</v>
      </c>
      <c r="I258" s="18">
        <f t="shared" si="49"/>
        <v>440415.64999999979</v>
      </c>
      <c r="K258" s="18">
        <f t="shared" si="58"/>
        <v>21112.611593033736</v>
      </c>
      <c r="L258" s="19">
        <v>2.5000000000000001E-2</v>
      </c>
      <c r="M258" s="18">
        <f t="shared" si="50"/>
        <v>0</v>
      </c>
      <c r="N258" s="18">
        <f t="shared" si="54"/>
        <v>865617.07531438314</v>
      </c>
      <c r="P258" s="20">
        <f t="shared" si="55"/>
        <v>12642.05</v>
      </c>
      <c r="Q258" s="59"/>
      <c r="R258" s="22"/>
      <c r="S258" s="18">
        <f t="shared" si="59"/>
        <v>0</v>
      </c>
      <c r="T258" s="18">
        <f t="shared" si="51"/>
        <v>12642.05</v>
      </c>
      <c r="U258" s="41">
        <f>IF(SUM($U$4:U257)=1,0,IF(SUM($Q$4:Q258)&gt;39891.29,1,0))</f>
        <v>0</v>
      </c>
      <c r="V258" s="23"/>
      <c r="W258" s="23"/>
      <c r="X258" s="23"/>
      <c r="Y258" s="23"/>
      <c r="AA258" s="51"/>
      <c r="AB258" s="51"/>
      <c r="AC258" s="52"/>
      <c r="AD258" s="52"/>
      <c r="AE258" s="51"/>
      <c r="AF258" s="53"/>
      <c r="AG258" s="54"/>
      <c r="AH258" s="52"/>
      <c r="AI258" s="28"/>
      <c r="AJ258" s="55"/>
      <c r="AL258" s="66">
        <f t="shared" si="57"/>
        <v>2.9128488832494998E-2</v>
      </c>
      <c r="AV258" s="32"/>
    </row>
    <row r="259" spans="2:48" ht="16.5" thickBot="1" x14ac:dyDescent="0.3">
      <c r="B259" s="33">
        <v>256</v>
      </c>
      <c r="C259" s="34">
        <f t="shared" si="52"/>
        <v>47553</v>
      </c>
      <c r="D259" s="35">
        <f t="shared" si="47"/>
        <v>2030</v>
      </c>
      <c r="E259" s="36">
        <f t="shared" si="53"/>
        <v>440415.64999999979</v>
      </c>
      <c r="F259" s="36">
        <v>12839.51</v>
      </c>
      <c r="G259" s="37">
        <f t="shared" si="48"/>
        <v>2.9153164743350984E-2</v>
      </c>
      <c r="H259" s="36">
        <f t="shared" si="56"/>
        <v>100</v>
      </c>
      <c r="I259" s="36">
        <f t="shared" si="49"/>
        <v>453355.1599999998</v>
      </c>
      <c r="K259" s="36">
        <f t="shared" si="58"/>
        <v>21640.426882859581</v>
      </c>
      <c r="L259" s="37">
        <v>2.5000000000000001E-2</v>
      </c>
      <c r="M259" s="36">
        <f t="shared" si="50"/>
        <v>100</v>
      </c>
      <c r="N259" s="36">
        <f t="shared" si="54"/>
        <v>887357.50219724269</v>
      </c>
      <c r="P259" s="38">
        <f t="shared" si="55"/>
        <v>12642.05</v>
      </c>
      <c r="Q259" s="56"/>
      <c r="R259" s="40"/>
      <c r="S259" s="36">
        <f t="shared" si="59"/>
        <v>100</v>
      </c>
      <c r="T259" s="36">
        <f t="shared" si="51"/>
        <v>12742.05</v>
      </c>
      <c r="U259" s="41">
        <f>IF(SUM($U$4:U258)=1,0,IF(SUM($Q$4:Q259)&gt;39891.29,1,0))</f>
        <v>0</v>
      </c>
      <c r="V259" s="36"/>
      <c r="W259" s="36"/>
      <c r="X259" s="36"/>
      <c r="Y259" s="36"/>
      <c r="AA259" s="42"/>
      <c r="AB259" s="42"/>
      <c r="AC259" s="43"/>
      <c r="AD259" s="43"/>
      <c r="AE259" s="42"/>
      <c r="AF259" s="44"/>
      <c r="AG259" s="45"/>
      <c r="AH259" s="43"/>
      <c r="AI259" s="46"/>
      <c r="AJ259" s="47"/>
      <c r="AL259" s="66">
        <f t="shared" si="57"/>
        <v>2.9153164743350984E-2</v>
      </c>
      <c r="AV259" s="32"/>
    </row>
    <row r="260" spans="2:48" ht="16.5" thickBot="1" x14ac:dyDescent="0.3">
      <c r="B260" s="15">
        <v>257</v>
      </c>
      <c r="C260" s="16">
        <f t="shared" si="52"/>
        <v>47560</v>
      </c>
      <c r="D260" s="17">
        <f t="shared" si="47"/>
        <v>2030</v>
      </c>
      <c r="E260" s="18">
        <f t="shared" si="53"/>
        <v>453355.1599999998</v>
      </c>
      <c r="F260" s="18">
        <v>13224.69</v>
      </c>
      <c r="G260" s="19">
        <f t="shared" si="48"/>
        <v>2.9170705810429083E-2</v>
      </c>
      <c r="H260" s="18">
        <f t="shared" si="56"/>
        <v>0</v>
      </c>
      <c r="I260" s="18">
        <f t="shared" si="49"/>
        <v>466579.8499999998</v>
      </c>
      <c r="K260" s="18">
        <f t="shared" si="58"/>
        <v>22183.937554931068</v>
      </c>
      <c r="L260" s="19">
        <v>2.5000000000000001E-2</v>
      </c>
      <c r="M260" s="18">
        <f t="shared" si="50"/>
        <v>0</v>
      </c>
      <c r="N260" s="18">
        <f t="shared" si="54"/>
        <v>909541.43975217373</v>
      </c>
      <c r="P260" s="20">
        <f t="shared" si="55"/>
        <v>12742.05</v>
      </c>
      <c r="Q260" s="59"/>
      <c r="R260" s="22"/>
      <c r="S260" s="18">
        <f t="shared" si="59"/>
        <v>0</v>
      </c>
      <c r="T260" s="18">
        <f t="shared" si="51"/>
        <v>12742.05</v>
      </c>
      <c r="U260" s="41">
        <f>IF(SUM($U$4:U259)=1,0,IF(SUM($Q$4:Q260)&gt;39891.29,1,0))</f>
        <v>0</v>
      </c>
      <c r="V260" s="23"/>
      <c r="W260" s="23"/>
      <c r="X260" s="23"/>
      <c r="Y260" s="23"/>
      <c r="AA260" s="51"/>
      <c r="AB260" s="51"/>
      <c r="AC260" s="52"/>
      <c r="AD260" s="52"/>
      <c r="AE260" s="51"/>
      <c r="AF260" s="53"/>
      <c r="AG260" s="54"/>
      <c r="AH260" s="52"/>
      <c r="AI260" s="28"/>
      <c r="AJ260" s="55"/>
      <c r="AL260" s="66">
        <f t="shared" si="57"/>
        <v>2.9170705810429083E-2</v>
      </c>
      <c r="AV260" s="32"/>
    </row>
    <row r="261" spans="2:48" ht="16.5" thickBot="1" x14ac:dyDescent="0.3">
      <c r="B261" s="33">
        <v>258</v>
      </c>
      <c r="C261" s="34">
        <f t="shared" si="52"/>
        <v>47567</v>
      </c>
      <c r="D261" s="35">
        <f t="shared" ref="D261:D301" si="60">YEAR(C261)</f>
        <v>2030</v>
      </c>
      <c r="E261" s="36">
        <f t="shared" si="53"/>
        <v>466579.8499999998</v>
      </c>
      <c r="F261" s="36">
        <v>13621.43</v>
      </c>
      <c r="G261" s="37">
        <f t="shared" ref="G261:G301" si="61">F261/E261</f>
        <v>2.919420973709003E-2</v>
      </c>
      <c r="H261" s="36">
        <f t="shared" si="56"/>
        <v>100</v>
      </c>
      <c r="I261" s="36">
        <f t="shared" ref="I261:I301" si="62">E261+F261+H261</f>
        <v>480301.2799999998</v>
      </c>
      <c r="K261" s="36">
        <f t="shared" si="58"/>
        <v>22738.535993804344</v>
      </c>
      <c r="L261" s="37">
        <v>2.5000000000000001E-2</v>
      </c>
      <c r="M261" s="36">
        <f t="shared" ref="M261:M301" si="63">H261</f>
        <v>100</v>
      </c>
      <c r="N261" s="36">
        <f t="shared" si="54"/>
        <v>932379.97574597807</v>
      </c>
      <c r="P261" s="38">
        <f t="shared" si="55"/>
        <v>12742.05</v>
      </c>
      <c r="Q261" s="56"/>
      <c r="R261" s="40"/>
      <c r="S261" s="36">
        <f t="shared" si="59"/>
        <v>100</v>
      </c>
      <c r="T261" s="36">
        <f t="shared" ref="T261:T301" si="64">P261+Q261+S261</f>
        <v>12842.05</v>
      </c>
      <c r="U261" s="41">
        <f>IF(SUM($U$4:U260)=1,0,IF(SUM($Q$4:Q261)&gt;39891.29,1,0))</f>
        <v>0</v>
      </c>
      <c r="V261" s="36"/>
      <c r="W261" s="36"/>
      <c r="X261" s="36"/>
      <c r="Y261" s="36"/>
      <c r="AA261" s="42"/>
      <c r="AB261" s="42"/>
      <c r="AC261" s="43"/>
      <c r="AD261" s="43"/>
      <c r="AE261" s="42"/>
      <c r="AF261" s="44"/>
      <c r="AG261" s="45"/>
      <c r="AH261" s="43"/>
      <c r="AI261" s="46"/>
      <c r="AJ261" s="47"/>
      <c r="AL261" s="66">
        <f t="shared" si="57"/>
        <v>2.919420973709003E-2</v>
      </c>
      <c r="AV261" s="32"/>
    </row>
    <row r="262" spans="2:48" ht="16.5" thickBot="1" x14ac:dyDescent="0.3">
      <c r="B262" s="15">
        <v>259</v>
      </c>
      <c r="C262" s="16">
        <f t="shared" ref="C262:C301" si="65">C261+7</f>
        <v>47574</v>
      </c>
      <c r="D262" s="17">
        <f t="shared" si="60"/>
        <v>2030</v>
      </c>
      <c r="E262" s="18">
        <f t="shared" ref="E262:E301" si="66">I261</f>
        <v>480301.2799999998</v>
      </c>
      <c r="F262" s="18">
        <v>14030.08</v>
      </c>
      <c r="G262" s="19">
        <f t="shared" si="61"/>
        <v>2.9210998563235155E-2</v>
      </c>
      <c r="H262" s="18">
        <f t="shared" si="56"/>
        <v>0</v>
      </c>
      <c r="I262" s="18">
        <f t="shared" si="62"/>
        <v>494331.35999999981</v>
      </c>
      <c r="K262" s="18">
        <f t="shared" si="58"/>
        <v>23309.499393649454</v>
      </c>
      <c r="L262" s="19">
        <v>2.5000000000000001E-2</v>
      </c>
      <c r="M262" s="18">
        <f t="shared" si="63"/>
        <v>0</v>
      </c>
      <c r="N262" s="18">
        <f t="shared" ref="N262:N301" si="67">N261+K262+M262</f>
        <v>955689.47513962747</v>
      </c>
      <c r="P262" s="20">
        <f t="shared" ref="P262:P301" si="68">T261</f>
        <v>12842.05</v>
      </c>
      <c r="Q262" s="59"/>
      <c r="R262" s="22"/>
      <c r="S262" s="18">
        <f t="shared" si="59"/>
        <v>0</v>
      </c>
      <c r="T262" s="18">
        <f t="shared" si="64"/>
        <v>12842.05</v>
      </c>
      <c r="U262" s="41">
        <f>IF(SUM($U$4:U261)=1,0,IF(SUM($Q$4:Q262)&gt;39891.29,1,0))</f>
        <v>0</v>
      </c>
      <c r="V262" s="23"/>
      <c r="W262" s="23"/>
      <c r="X262" s="23"/>
      <c r="Y262" s="23"/>
      <c r="AA262" s="51"/>
      <c r="AB262" s="51"/>
      <c r="AC262" s="52"/>
      <c r="AD262" s="52"/>
      <c r="AE262" s="51"/>
      <c r="AF262" s="53"/>
      <c r="AG262" s="54"/>
      <c r="AH262" s="52"/>
      <c r="AI262" s="28"/>
      <c r="AJ262" s="55"/>
      <c r="AL262" s="66">
        <f t="shared" si="57"/>
        <v>2.9210998563235155E-2</v>
      </c>
      <c r="AV262" s="32"/>
    </row>
    <row r="263" spans="2:48" ht="16.5" thickBot="1" x14ac:dyDescent="0.3">
      <c r="B263" s="33">
        <v>260</v>
      </c>
      <c r="C263" s="34">
        <f t="shared" si="65"/>
        <v>47581</v>
      </c>
      <c r="D263" s="35">
        <f t="shared" si="60"/>
        <v>2030</v>
      </c>
      <c r="E263" s="36">
        <f t="shared" si="66"/>
        <v>494331.35999999981</v>
      </c>
      <c r="F263" s="36">
        <v>14450.98</v>
      </c>
      <c r="G263" s="37">
        <f t="shared" si="61"/>
        <v>2.9233387094842626E-2</v>
      </c>
      <c r="H263" s="36">
        <f t="shared" si="56"/>
        <v>100</v>
      </c>
      <c r="I263" s="36">
        <f t="shared" si="62"/>
        <v>508882.33999999979</v>
      </c>
      <c r="K263" s="36">
        <f t="shared" si="58"/>
        <v>23892.236878490687</v>
      </c>
      <c r="L263" s="37">
        <v>2.5000000000000001E-2</v>
      </c>
      <c r="M263" s="36">
        <f t="shared" si="63"/>
        <v>100</v>
      </c>
      <c r="N263" s="36">
        <f t="shared" si="67"/>
        <v>979681.71201811812</v>
      </c>
      <c r="P263" s="38">
        <f t="shared" si="68"/>
        <v>12842.05</v>
      </c>
      <c r="Q263" s="56"/>
      <c r="R263" s="40"/>
      <c r="S263" s="36">
        <f t="shared" si="59"/>
        <v>100</v>
      </c>
      <c r="T263" s="36">
        <f t="shared" si="64"/>
        <v>12942.05</v>
      </c>
      <c r="U263" s="41">
        <f>IF(SUM($U$4:U262)=1,0,IF(SUM($Q$4:Q263)&gt;39891.29,1,0))</f>
        <v>0</v>
      </c>
      <c r="V263" s="36"/>
      <c r="W263" s="36"/>
      <c r="X263" s="36"/>
      <c r="Y263" s="36"/>
      <c r="AA263" s="42"/>
      <c r="AB263" s="42"/>
      <c r="AC263" s="43"/>
      <c r="AD263" s="43"/>
      <c r="AE263" s="42"/>
      <c r="AF263" s="44"/>
      <c r="AG263" s="45"/>
      <c r="AH263" s="43"/>
      <c r="AI263" s="46"/>
      <c r="AJ263" s="47"/>
      <c r="AL263" s="66">
        <f t="shared" si="57"/>
        <v>2.9233387094842626E-2</v>
      </c>
      <c r="AV263" s="32"/>
    </row>
    <row r="264" spans="2:48" ht="16.5" thickBot="1" x14ac:dyDescent="0.3">
      <c r="B264" s="15">
        <v>261</v>
      </c>
      <c r="C264" s="16">
        <f t="shared" si="65"/>
        <v>47588</v>
      </c>
      <c r="D264" s="17">
        <f t="shared" si="60"/>
        <v>2030</v>
      </c>
      <c r="E264" s="18">
        <f t="shared" si="66"/>
        <v>508882.33999999979</v>
      </c>
      <c r="F264" s="18">
        <v>14450.98</v>
      </c>
      <c r="G264" s="19">
        <f t="shared" si="61"/>
        <v>2.8397487717887804E-2</v>
      </c>
      <c r="H264" s="18">
        <f t="shared" ref="H264:H301" si="69">S264</f>
        <v>0</v>
      </c>
      <c r="I264" s="18">
        <f t="shared" si="62"/>
        <v>523333.31999999977</v>
      </c>
      <c r="K264" s="18">
        <f t="shared" si="58"/>
        <v>24492.042800452953</v>
      </c>
      <c r="L264" s="19">
        <v>2.5000000000000001E-2</v>
      </c>
      <c r="M264" s="18">
        <f t="shared" si="63"/>
        <v>0</v>
      </c>
      <c r="N264" s="18">
        <f t="shared" si="67"/>
        <v>1004173.754818571</v>
      </c>
      <c r="P264" s="20">
        <f t="shared" si="68"/>
        <v>12942.05</v>
      </c>
      <c r="Q264" s="59"/>
      <c r="R264" s="22"/>
      <c r="S264" s="18">
        <f t="shared" si="59"/>
        <v>0</v>
      </c>
      <c r="T264" s="18">
        <f t="shared" si="64"/>
        <v>12942.05</v>
      </c>
      <c r="U264" s="41">
        <f>IF(SUM($U$4:U263)=1,0,IF(SUM($Q$4:Q264)&gt;39891.29,1,0))</f>
        <v>0</v>
      </c>
      <c r="V264" s="23"/>
      <c r="W264" s="23"/>
      <c r="X264" s="23"/>
      <c r="Y264" s="23"/>
      <c r="AA264" s="51"/>
      <c r="AB264" s="51"/>
      <c r="AC264" s="52"/>
      <c r="AD264" s="52"/>
      <c r="AE264" s="51"/>
      <c r="AF264" s="53"/>
      <c r="AG264" s="54"/>
      <c r="AH264" s="52"/>
      <c r="AI264" s="28"/>
      <c r="AJ264" s="55"/>
      <c r="AL264" s="66">
        <f t="shared" si="57"/>
        <v>2.8397487717887804E-2</v>
      </c>
      <c r="AV264" s="32"/>
    </row>
    <row r="265" spans="2:48" ht="16.5" thickBot="1" x14ac:dyDescent="0.3">
      <c r="B265" s="33">
        <v>262</v>
      </c>
      <c r="C265" s="34">
        <f t="shared" si="65"/>
        <v>47595</v>
      </c>
      <c r="D265" s="35">
        <f t="shared" si="60"/>
        <v>2030</v>
      </c>
      <c r="E265" s="36">
        <f t="shared" si="66"/>
        <v>523333.31999999977</v>
      </c>
      <c r="F265" s="36">
        <v>14450.98</v>
      </c>
      <c r="G265" s="37">
        <f t="shared" si="61"/>
        <v>2.7613338283142389E-2</v>
      </c>
      <c r="H265" s="36">
        <f t="shared" si="69"/>
        <v>100</v>
      </c>
      <c r="I265" s="36">
        <f t="shared" si="62"/>
        <v>537884.29999999981</v>
      </c>
      <c r="K265" s="36">
        <f t="shared" si="58"/>
        <v>25104.343870464276</v>
      </c>
      <c r="L265" s="37">
        <v>2.5000000000000001E-2</v>
      </c>
      <c r="M265" s="36">
        <f t="shared" si="63"/>
        <v>100</v>
      </c>
      <c r="N265" s="36">
        <f t="shared" si="67"/>
        <v>1029378.0986890353</v>
      </c>
      <c r="P265" s="38">
        <f t="shared" si="68"/>
        <v>12942.05</v>
      </c>
      <c r="Q265" s="56"/>
      <c r="R265" s="40"/>
      <c r="S265" s="36">
        <f t="shared" si="59"/>
        <v>100</v>
      </c>
      <c r="T265" s="36">
        <f t="shared" si="64"/>
        <v>13042.05</v>
      </c>
      <c r="U265" s="41">
        <f>IF(SUM($U$4:U264)=1,0,IF(SUM($Q$4:Q265)&gt;39891.29,1,0))</f>
        <v>0</v>
      </c>
      <c r="V265" s="36"/>
      <c r="W265" s="36"/>
      <c r="X265" s="36"/>
      <c r="Y265" s="36"/>
      <c r="AA265" s="42"/>
      <c r="AB265" s="42"/>
      <c r="AC265" s="43"/>
      <c r="AD265" s="43"/>
      <c r="AE265" s="42"/>
      <c r="AF265" s="44"/>
      <c r="AG265" s="45"/>
      <c r="AH265" s="43"/>
      <c r="AI265" s="46"/>
      <c r="AJ265" s="47"/>
      <c r="AL265" s="66">
        <f t="shared" si="57"/>
        <v>2.7613338283142389E-2</v>
      </c>
      <c r="AV265" s="32"/>
    </row>
    <row r="266" spans="2:48" ht="16.5" thickBot="1" x14ac:dyDescent="0.3">
      <c r="B266" s="15">
        <v>263</v>
      </c>
      <c r="C266" s="16">
        <f t="shared" si="65"/>
        <v>47602</v>
      </c>
      <c r="D266" s="17">
        <f t="shared" si="60"/>
        <v>2030</v>
      </c>
      <c r="E266" s="18">
        <f t="shared" si="66"/>
        <v>537884.29999999981</v>
      </c>
      <c r="F266" s="18">
        <v>14450.98</v>
      </c>
      <c r="G266" s="19">
        <f t="shared" si="61"/>
        <v>2.6866335381047567E-2</v>
      </c>
      <c r="H266" s="18">
        <f t="shared" si="69"/>
        <v>0</v>
      </c>
      <c r="I266" s="18">
        <f t="shared" si="62"/>
        <v>552335.2799999998</v>
      </c>
      <c r="K266" s="18">
        <f t="shared" si="58"/>
        <v>25734.452467225885</v>
      </c>
      <c r="L266" s="19">
        <v>2.5000000000000001E-2</v>
      </c>
      <c r="M266" s="18">
        <f t="shared" si="63"/>
        <v>0</v>
      </c>
      <c r="N266" s="18">
        <f t="shared" si="67"/>
        <v>1055112.5511562612</v>
      </c>
      <c r="P266" s="20">
        <f t="shared" si="68"/>
        <v>13042.05</v>
      </c>
      <c r="Q266" s="59"/>
      <c r="R266" s="22"/>
      <c r="S266" s="18">
        <f t="shared" si="59"/>
        <v>0</v>
      </c>
      <c r="T266" s="18">
        <f t="shared" si="64"/>
        <v>13042.05</v>
      </c>
      <c r="U266" s="41">
        <f>IF(SUM($U$4:U265)=1,0,IF(SUM($Q$4:Q266)&gt;39891.29,1,0))</f>
        <v>0</v>
      </c>
      <c r="V266" s="23"/>
      <c r="W266" s="23"/>
      <c r="X266" s="23"/>
      <c r="Y266" s="23"/>
      <c r="AA266" s="51"/>
      <c r="AB266" s="51"/>
      <c r="AC266" s="52"/>
      <c r="AD266" s="52"/>
      <c r="AE266" s="51"/>
      <c r="AF266" s="53"/>
      <c r="AG266" s="54"/>
      <c r="AH266" s="52"/>
      <c r="AI266" s="28"/>
      <c r="AJ266" s="55"/>
      <c r="AL266" s="66">
        <f t="shared" si="57"/>
        <v>2.6866335381047567E-2</v>
      </c>
      <c r="AV266" s="32"/>
    </row>
    <row r="267" spans="2:48" ht="16.5" thickBot="1" x14ac:dyDescent="0.3">
      <c r="B267" s="33">
        <v>264</v>
      </c>
      <c r="C267" s="34">
        <f t="shared" si="65"/>
        <v>47609</v>
      </c>
      <c r="D267" s="35">
        <f t="shared" si="60"/>
        <v>2030</v>
      </c>
      <c r="E267" s="36">
        <f t="shared" si="66"/>
        <v>552335.2799999998</v>
      </c>
      <c r="F267" s="36">
        <v>14450.98</v>
      </c>
      <c r="G267" s="37">
        <f t="shared" si="61"/>
        <v>2.6163420160305539E-2</v>
      </c>
      <c r="H267" s="36">
        <f t="shared" si="69"/>
        <v>100</v>
      </c>
      <c r="I267" s="36">
        <f t="shared" si="62"/>
        <v>566886.25999999978</v>
      </c>
      <c r="K267" s="36">
        <f t="shared" si="58"/>
        <v>26377.813778906533</v>
      </c>
      <c r="L267" s="37">
        <v>2.5000000000000001E-2</v>
      </c>
      <c r="M267" s="36">
        <f t="shared" si="63"/>
        <v>100</v>
      </c>
      <c r="N267" s="36">
        <f t="shared" si="67"/>
        <v>1081590.3649351678</v>
      </c>
      <c r="P267" s="38">
        <f t="shared" si="68"/>
        <v>13042.05</v>
      </c>
      <c r="Q267" s="56"/>
      <c r="R267" s="40"/>
      <c r="S267" s="36">
        <f t="shared" si="59"/>
        <v>100</v>
      </c>
      <c r="T267" s="36">
        <f t="shared" si="64"/>
        <v>13142.05</v>
      </c>
      <c r="U267" s="41">
        <f>IF(SUM($U$4:U266)=1,0,IF(SUM($Q$4:Q267)&gt;39891.29,1,0))</f>
        <v>0</v>
      </c>
      <c r="V267" s="36"/>
      <c r="W267" s="36"/>
      <c r="X267" s="36"/>
      <c r="Y267" s="36"/>
      <c r="AA267" s="42"/>
      <c r="AB267" s="42"/>
      <c r="AC267" s="43"/>
      <c r="AD267" s="43"/>
      <c r="AE267" s="42"/>
      <c r="AF267" s="44"/>
      <c r="AG267" s="45"/>
      <c r="AH267" s="43"/>
      <c r="AI267" s="46"/>
      <c r="AJ267" s="47"/>
      <c r="AL267" s="66">
        <f t="shared" si="57"/>
        <v>2.6163420160305539E-2</v>
      </c>
      <c r="AV267" s="32"/>
    </row>
    <row r="268" spans="2:48" ht="16.5" thickBot="1" x14ac:dyDescent="0.3">
      <c r="B268" s="15">
        <v>265</v>
      </c>
      <c r="C268" s="16">
        <f t="shared" si="65"/>
        <v>47616</v>
      </c>
      <c r="D268" s="17">
        <f t="shared" si="60"/>
        <v>2030</v>
      </c>
      <c r="E268" s="18">
        <f t="shared" si="66"/>
        <v>566886.25999999978</v>
      </c>
      <c r="F268" s="18">
        <v>14450.98</v>
      </c>
      <c r="G268" s="19">
        <f t="shared" si="61"/>
        <v>2.5491850869696516E-2</v>
      </c>
      <c r="H268" s="18">
        <f t="shared" si="69"/>
        <v>0</v>
      </c>
      <c r="I268" s="18">
        <f t="shared" si="62"/>
        <v>581337.23999999976</v>
      </c>
      <c r="K268" s="18">
        <f t="shared" si="58"/>
        <v>27039.759123379197</v>
      </c>
      <c r="L268" s="19">
        <v>2.5000000000000001E-2</v>
      </c>
      <c r="M268" s="18">
        <f t="shared" si="63"/>
        <v>0</v>
      </c>
      <c r="N268" s="18">
        <f t="shared" si="67"/>
        <v>1108630.124058547</v>
      </c>
      <c r="P268" s="20">
        <f t="shared" si="68"/>
        <v>13142.05</v>
      </c>
      <c r="Q268" s="59"/>
      <c r="R268" s="22"/>
      <c r="S268" s="18">
        <f t="shared" si="59"/>
        <v>0</v>
      </c>
      <c r="T268" s="18">
        <f t="shared" si="64"/>
        <v>13142.05</v>
      </c>
      <c r="U268" s="41">
        <f>IF(SUM($U$4:U267)=1,0,IF(SUM($Q$4:Q268)&gt;39891.29,1,0))</f>
        <v>0</v>
      </c>
      <c r="V268" s="23"/>
      <c r="W268" s="23"/>
      <c r="X268" s="23"/>
      <c r="Y268" s="23"/>
      <c r="AA268" s="51"/>
      <c r="AB268" s="51"/>
      <c r="AC268" s="52"/>
      <c r="AD268" s="52"/>
      <c r="AE268" s="51"/>
      <c r="AF268" s="53"/>
      <c r="AG268" s="54"/>
      <c r="AH268" s="52"/>
      <c r="AI268" s="28"/>
      <c r="AJ268" s="55"/>
      <c r="AL268" s="66">
        <f t="shared" si="57"/>
        <v>2.5491850869696516E-2</v>
      </c>
      <c r="AV268" s="32"/>
    </row>
    <row r="269" spans="2:48" ht="16.5" thickBot="1" x14ac:dyDescent="0.3">
      <c r="B269" s="33">
        <v>266</v>
      </c>
      <c r="C269" s="34">
        <f t="shared" si="65"/>
        <v>47623</v>
      </c>
      <c r="D269" s="35">
        <f t="shared" si="60"/>
        <v>2030</v>
      </c>
      <c r="E269" s="36">
        <f t="shared" si="66"/>
        <v>581337.23999999976</v>
      </c>
      <c r="F269" s="36">
        <v>14450.98</v>
      </c>
      <c r="G269" s="37">
        <f t="shared" si="61"/>
        <v>2.4858170104499078E-2</v>
      </c>
      <c r="H269" s="36">
        <f t="shared" si="69"/>
        <v>100</v>
      </c>
      <c r="I269" s="36">
        <f t="shared" si="62"/>
        <v>595888.21999999974</v>
      </c>
      <c r="K269" s="36">
        <f t="shared" si="58"/>
        <v>27715.753101463677</v>
      </c>
      <c r="L269" s="37">
        <v>2.5000000000000001E-2</v>
      </c>
      <c r="M269" s="36">
        <f t="shared" si="63"/>
        <v>100</v>
      </c>
      <c r="N269" s="36">
        <f t="shared" si="67"/>
        <v>1136445.8771600106</v>
      </c>
      <c r="P269" s="38">
        <f t="shared" si="68"/>
        <v>13142.05</v>
      </c>
      <c r="Q269" s="56"/>
      <c r="R269" s="40"/>
      <c r="S269" s="36">
        <f t="shared" si="59"/>
        <v>100</v>
      </c>
      <c r="T269" s="36">
        <f t="shared" si="64"/>
        <v>13242.05</v>
      </c>
      <c r="U269" s="41">
        <f>IF(SUM($U$4:U268)=1,0,IF(SUM($Q$4:Q269)&gt;39891.29,1,0))</f>
        <v>0</v>
      </c>
      <c r="V269" s="36"/>
      <c r="W269" s="36"/>
      <c r="X269" s="36"/>
      <c r="Y269" s="36"/>
      <c r="AA269" s="42"/>
      <c r="AB269" s="42"/>
      <c r="AC269" s="43"/>
      <c r="AD269" s="43"/>
      <c r="AE269" s="42"/>
      <c r="AF269" s="44"/>
      <c r="AG269" s="45"/>
      <c r="AH269" s="43"/>
      <c r="AI269" s="46"/>
      <c r="AJ269" s="47"/>
      <c r="AL269" s="66">
        <f t="shared" ref="AL269:AL301" si="70">F269/E269</f>
        <v>2.4858170104499078E-2</v>
      </c>
      <c r="AV269" s="32"/>
    </row>
    <row r="270" spans="2:48" ht="16.5" thickBot="1" x14ac:dyDescent="0.3">
      <c r="B270" s="15">
        <v>267</v>
      </c>
      <c r="C270" s="16">
        <f t="shared" si="65"/>
        <v>47630</v>
      </c>
      <c r="D270" s="17">
        <f t="shared" si="60"/>
        <v>2030</v>
      </c>
      <c r="E270" s="18">
        <f t="shared" si="66"/>
        <v>595888.21999999974</v>
      </c>
      <c r="F270" s="18">
        <v>14450.98</v>
      </c>
      <c r="G270" s="19">
        <f t="shared" si="61"/>
        <v>2.4251159051273081E-2</v>
      </c>
      <c r="H270" s="18">
        <f t="shared" si="69"/>
        <v>0</v>
      </c>
      <c r="I270" s="18">
        <f t="shared" si="62"/>
        <v>610339.19999999972</v>
      </c>
      <c r="K270" s="18">
        <f t="shared" si="58"/>
        <v>28411.146929000268</v>
      </c>
      <c r="L270" s="19">
        <v>2.5000000000000001E-2</v>
      </c>
      <c r="M270" s="18">
        <f t="shared" si="63"/>
        <v>0</v>
      </c>
      <c r="N270" s="18">
        <f t="shared" si="67"/>
        <v>1164857.0240890109</v>
      </c>
      <c r="P270" s="20">
        <f t="shared" si="68"/>
        <v>13242.05</v>
      </c>
      <c r="Q270" s="59"/>
      <c r="R270" s="22"/>
      <c r="S270" s="18">
        <f t="shared" si="59"/>
        <v>0</v>
      </c>
      <c r="T270" s="18">
        <f t="shared" si="64"/>
        <v>13242.05</v>
      </c>
      <c r="U270" s="41">
        <f>IF(SUM($U$4:U269)=1,0,IF(SUM($Q$4:Q270)&gt;39891.29,1,0))</f>
        <v>0</v>
      </c>
      <c r="V270" s="23"/>
      <c r="W270" s="23"/>
      <c r="X270" s="23"/>
      <c r="Y270" s="23"/>
      <c r="AA270" s="51"/>
      <c r="AB270" s="51"/>
      <c r="AC270" s="52"/>
      <c r="AD270" s="52"/>
      <c r="AE270" s="51"/>
      <c r="AF270" s="53"/>
      <c r="AG270" s="54"/>
      <c r="AH270" s="52"/>
      <c r="AI270" s="28"/>
      <c r="AJ270" s="55"/>
      <c r="AL270" s="66">
        <f t="shared" si="70"/>
        <v>2.4251159051273081E-2</v>
      </c>
      <c r="AV270" s="32"/>
    </row>
    <row r="271" spans="2:48" ht="16.5" thickBot="1" x14ac:dyDescent="0.3">
      <c r="B271" s="33">
        <v>268</v>
      </c>
      <c r="C271" s="34">
        <f t="shared" si="65"/>
        <v>47637</v>
      </c>
      <c r="D271" s="35">
        <f t="shared" si="60"/>
        <v>2030</v>
      </c>
      <c r="E271" s="36">
        <f t="shared" si="66"/>
        <v>610339.19999999972</v>
      </c>
      <c r="F271" s="36">
        <v>14450.98</v>
      </c>
      <c r="G271" s="37">
        <f t="shared" si="61"/>
        <v>2.3676965202300632E-2</v>
      </c>
      <c r="H271" s="36">
        <f t="shared" si="69"/>
        <v>100</v>
      </c>
      <c r="I271" s="36">
        <f t="shared" si="62"/>
        <v>624890.1799999997</v>
      </c>
      <c r="K271" s="36">
        <f t="shared" si="58"/>
        <v>29121.425602225274</v>
      </c>
      <c r="L271" s="37">
        <v>2.5000000000000001E-2</v>
      </c>
      <c r="M271" s="36">
        <f t="shared" si="63"/>
        <v>100</v>
      </c>
      <c r="N271" s="36">
        <f t="shared" si="67"/>
        <v>1194078.4496912363</v>
      </c>
      <c r="P271" s="38">
        <f t="shared" si="68"/>
        <v>13242.05</v>
      </c>
      <c r="Q271" s="56"/>
      <c r="R271" s="40"/>
      <c r="S271" s="36">
        <f t="shared" si="59"/>
        <v>100</v>
      </c>
      <c r="T271" s="36">
        <f t="shared" si="64"/>
        <v>13342.05</v>
      </c>
      <c r="U271" s="41">
        <f>IF(SUM($U$4:U270)=1,0,IF(SUM($Q$4:Q271)&gt;39891.29,1,0))</f>
        <v>0</v>
      </c>
      <c r="V271" s="36"/>
      <c r="W271" s="36"/>
      <c r="X271" s="36"/>
      <c r="Y271" s="36"/>
      <c r="AA271" s="42"/>
      <c r="AB271" s="42"/>
      <c r="AC271" s="43"/>
      <c r="AD271" s="43"/>
      <c r="AE271" s="42"/>
      <c r="AF271" s="44"/>
      <c r="AG271" s="45"/>
      <c r="AH271" s="43"/>
      <c r="AI271" s="46"/>
      <c r="AJ271" s="47"/>
      <c r="AL271" s="66">
        <f t="shared" si="70"/>
        <v>2.3676965202300632E-2</v>
      </c>
      <c r="AV271" s="32"/>
    </row>
    <row r="272" spans="2:48" ht="16.5" thickBot="1" x14ac:dyDescent="0.3">
      <c r="B272" s="15">
        <v>269</v>
      </c>
      <c r="C272" s="16">
        <f t="shared" si="65"/>
        <v>47644</v>
      </c>
      <c r="D272" s="17">
        <f t="shared" si="60"/>
        <v>2030</v>
      </c>
      <c r="E272" s="18">
        <f t="shared" si="66"/>
        <v>624890.1799999997</v>
      </c>
      <c r="F272" s="18">
        <v>14450.98</v>
      </c>
      <c r="G272" s="19">
        <f t="shared" si="61"/>
        <v>2.3125631450953522E-2</v>
      </c>
      <c r="H272" s="18">
        <f t="shared" si="69"/>
        <v>0</v>
      </c>
      <c r="I272" s="18">
        <f t="shared" si="62"/>
        <v>639341.15999999968</v>
      </c>
      <c r="K272" s="18">
        <f t="shared" si="58"/>
        <v>29851.961242280908</v>
      </c>
      <c r="L272" s="19">
        <v>2.5000000000000001E-2</v>
      </c>
      <c r="M272" s="18">
        <f t="shared" si="63"/>
        <v>0</v>
      </c>
      <c r="N272" s="18">
        <f t="shared" si="67"/>
        <v>1223930.4109335172</v>
      </c>
      <c r="P272" s="20">
        <f t="shared" si="68"/>
        <v>13342.05</v>
      </c>
      <c r="Q272" s="59"/>
      <c r="R272" s="22"/>
      <c r="S272" s="18">
        <f t="shared" si="59"/>
        <v>0</v>
      </c>
      <c r="T272" s="18">
        <f t="shared" si="64"/>
        <v>13342.05</v>
      </c>
      <c r="U272" s="41">
        <f>IF(SUM($U$4:U271)=1,0,IF(SUM($Q$4:Q272)&gt;39891.29,1,0))</f>
        <v>0</v>
      </c>
      <c r="V272" s="23"/>
      <c r="W272" s="23"/>
      <c r="X272" s="23"/>
      <c r="Y272" s="23"/>
      <c r="AA272" s="51"/>
      <c r="AB272" s="51"/>
      <c r="AC272" s="52"/>
      <c r="AD272" s="52"/>
      <c r="AE272" s="51"/>
      <c r="AF272" s="53"/>
      <c r="AG272" s="54"/>
      <c r="AH272" s="52"/>
      <c r="AI272" s="28"/>
      <c r="AJ272" s="55"/>
      <c r="AL272" s="66">
        <f t="shared" si="70"/>
        <v>2.3125631450953522E-2</v>
      </c>
      <c r="AV272" s="32"/>
    </row>
    <row r="273" spans="2:48" ht="16.5" thickBot="1" x14ac:dyDescent="0.3">
      <c r="B273" s="33">
        <v>270</v>
      </c>
      <c r="C273" s="34">
        <f t="shared" si="65"/>
        <v>47651</v>
      </c>
      <c r="D273" s="35">
        <f t="shared" si="60"/>
        <v>2030</v>
      </c>
      <c r="E273" s="36">
        <f t="shared" si="66"/>
        <v>639341.15999999968</v>
      </c>
      <c r="F273" s="36">
        <v>14450.98</v>
      </c>
      <c r="G273" s="37">
        <f t="shared" si="61"/>
        <v>2.2602924548139537E-2</v>
      </c>
      <c r="H273" s="36">
        <f t="shared" si="69"/>
        <v>100</v>
      </c>
      <c r="I273" s="36">
        <f t="shared" si="62"/>
        <v>653892.13999999966</v>
      </c>
      <c r="K273" s="36">
        <f t="shared" si="58"/>
        <v>30598.260273337932</v>
      </c>
      <c r="L273" s="37">
        <v>2.5000000000000001E-2</v>
      </c>
      <c r="M273" s="36">
        <f t="shared" si="63"/>
        <v>100</v>
      </c>
      <c r="N273" s="36">
        <f t="shared" si="67"/>
        <v>1254628.671206855</v>
      </c>
      <c r="P273" s="38">
        <f t="shared" si="68"/>
        <v>13342.05</v>
      </c>
      <c r="Q273" s="56"/>
      <c r="R273" s="40"/>
      <c r="S273" s="36">
        <f t="shared" si="59"/>
        <v>100</v>
      </c>
      <c r="T273" s="36">
        <f t="shared" si="64"/>
        <v>13442.05</v>
      </c>
      <c r="U273" s="41">
        <f>IF(SUM($U$4:U272)=1,0,IF(SUM($Q$4:Q273)&gt;39891.29,1,0))</f>
        <v>0</v>
      </c>
      <c r="V273" s="36"/>
      <c r="W273" s="36"/>
      <c r="X273" s="36"/>
      <c r="Y273" s="36"/>
      <c r="AA273" s="42"/>
      <c r="AB273" s="42"/>
      <c r="AC273" s="43"/>
      <c r="AD273" s="43"/>
      <c r="AE273" s="42"/>
      <c r="AF273" s="44"/>
      <c r="AG273" s="45"/>
      <c r="AH273" s="43"/>
      <c r="AI273" s="46"/>
      <c r="AJ273" s="47"/>
      <c r="AL273" s="66">
        <f t="shared" si="70"/>
        <v>2.2602924548139537E-2</v>
      </c>
      <c r="AV273" s="32"/>
    </row>
    <row r="274" spans="2:48" ht="16.5" thickBot="1" x14ac:dyDescent="0.3">
      <c r="B274" s="15">
        <v>271</v>
      </c>
      <c r="C274" s="16">
        <f t="shared" si="65"/>
        <v>47658</v>
      </c>
      <c r="D274" s="17">
        <f t="shared" si="60"/>
        <v>2030</v>
      </c>
      <c r="E274" s="18">
        <f t="shared" si="66"/>
        <v>653892.13999999966</v>
      </c>
      <c r="F274" s="18">
        <v>14450.98</v>
      </c>
      <c r="G274" s="19">
        <f t="shared" si="61"/>
        <v>2.2099944495433156E-2</v>
      </c>
      <c r="H274" s="18">
        <f t="shared" si="69"/>
        <v>0</v>
      </c>
      <c r="I274" s="18">
        <f t="shared" si="62"/>
        <v>668343.11999999965</v>
      </c>
      <c r="K274" s="18">
        <f t="shared" si="58"/>
        <v>31365.716780171377</v>
      </c>
      <c r="L274" s="19">
        <v>2.5000000000000001E-2</v>
      </c>
      <c r="M274" s="18">
        <f t="shared" si="63"/>
        <v>0</v>
      </c>
      <c r="N274" s="18">
        <f t="shared" si="67"/>
        <v>1285994.3879870262</v>
      </c>
      <c r="P274" s="20">
        <f t="shared" si="68"/>
        <v>13442.05</v>
      </c>
      <c r="Q274" s="59"/>
      <c r="R274" s="22"/>
      <c r="S274" s="18">
        <f t="shared" si="59"/>
        <v>0</v>
      </c>
      <c r="T274" s="18">
        <f t="shared" si="64"/>
        <v>13442.05</v>
      </c>
      <c r="U274" s="41">
        <f>IF(SUM($U$4:U273)=1,0,IF(SUM($Q$4:Q274)&gt;39891.29,1,0))</f>
        <v>0</v>
      </c>
      <c r="V274" s="23"/>
      <c r="W274" s="23"/>
      <c r="X274" s="23"/>
      <c r="Y274" s="23"/>
      <c r="AA274" s="51"/>
      <c r="AB274" s="51"/>
      <c r="AC274" s="52"/>
      <c r="AD274" s="52"/>
      <c r="AE274" s="51"/>
      <c r="AF274" s="53"/>
      <c r="AG274" s="54"/>
      <c r="AH274" s="52"/>
      <c r="AI274" s="28"/>
      <c r="AJ274" s="55"/>
      <c r="AL274" s="66">
        <f t="shared" si="70"/>
        <v>2.2099944495433156E-2</v>
      </c>
      <c r="AV274" s="32"/>
    </row>
    <row r="275" spans="2:48" ht="16.5" thickBot="1" x14ac:dyDescent="0.3">
      <c r="B275" s="33">
        <v>272</v>
      </c>
      <c r="C275" s="34">
        <f t="shared" si="65"/>
        <v>47665</v>
      </c>
      <c r="D275" s="35">
        <f t="shared" si="60"/>
        <v>2030</v>
      </c>
      <c r="E275" s="36">
        <f t="shared" si="66"/>
        <v>668343.11999999965</v>
      </c>
      <c r="F275" s="36">
        <v>14450.98</v>
      </c>
      <c r="G275" s="37">
        <f t="shared" si="61"/>
        <v>2.1622097344250371E-2</v>
      </c>
      <c r="H275" s="36">
        <f t="shared" si="69"/>
        <v>100</v>
      </c>
      <c r="I275" s="36">
        <f t="shared" si="62"/>
        <v>682894.09999999963</v>
      </c>
      <c r="K275" s="36">
        <f t="shared" si="58"/>
        <v>32149.859699675657</v>
      </c>
      <c r="L275" s="37">
        <v>2.5000000000000001E-2</v>
      </c>
      <c r="M275" s="36">
        <f t="shared" si="63"/>
        <v>100</v>
      </c>
      <c r="N275" s="36">
        <f t="shared" si="67"/>
        <v>1318244.2476867018</v>
      </c>
      <c r="P275" s="38">
        <f t="shared" si="68"/>
        <v>13442.05</v>
      </c>
      <c r="Q275" s="56"/>
      <c r="R275" s="40"/>
      <c r="S275" s="36">
        <f t="shared" si="59"/>
        <v>100</v>
      </c>
      <c r="T275" s="36">
        <f t="shared" si="64"/>
        <v>13542.05</v>
      </c>
      <c r="U275" s="41">
        <f>IF(SUM($U$4:U274)=1,0,IF(SUM($Q$4:Q275)&gt;39891.29,1,0))</f>
        <v>0</v>
      </c>
      <c r="V275" s="36"/>
      <c r="W275" s="36"/>
      <c r="X275" s="36"/>
      <c r="Y275" s="36"/>
      <c r="AA275" s="42"/>
      <c r="AB275" s="42"/>
      <c r="AC275" s="43"/>
      <c r="AD275" s="43"/>
      <c r="AE275" s="42"/>
      <c r="AF275" s="44"/>
      <c r="AG275" s="45"/>
      <c r="AH275" s="43"/>
      <c r="AI275" s="46"/>
      <c r="AJ275" s="47"/>
      <c r="AL275" s="66">
        <f t="shared" si="70"/>
        <v>2.1622097344250371E-2</v>
      </c>
      <c r="AV275" s="32"/>
    </row>
    <row r="276" spans="2:48" ht="16.5" thickBot="1" x14ac:dyDescent="0.3">
      <c r="B276" s="15">
        <v>273</v>
      </c>
      <c r="C276" s="16">
        <f t="shared" si="65"/>
        <v>47672</v>
      </c>
      <c r="D276" s="17">
        <f t="shared" si="60"/>
        <v>2030</v>
      </c>
      <c r="E276" s="18">
        <f t="shared" si="66"/>
        <v>682894.09999999963</v>
      </c>
      <c r="F276" s="18">
        <v>14450.98</v>
      </c>
      <c r="G276" s="19">
        <f t="shared" si="61"/>
        <v>2.1161377730456316E-2</v>
      </c>
      <c r="H276" s="18">
        <f t="shared" si="69"/>
        <v>0</v>
      </c>
      <c r="I276" s="18">
        <f t="shared" si="62"/>
        <v>697345.07999999961</v>
      </c>
      <c r="K276" s="18">
        <f t="shared" si="58"/>
        <v>32956.10619216755</v>
      </c>
      <c r="L276" s="19">
        <v>2.5000000000000001E-2</v>
      </c>
      <c r="M276" s="18">
        <f t="shared" si="63"/>
        <v>0</v>
      </c>
      <c r="N276" s="18">
        <f t="shared" si="67"/>
        <v>1351200.3538788694</v>
      </c>
      <c r="P276" s="20">
        <f t="shared" si="68"/>
        <v>13542.05</v>
      </c>
      <c r="Q276" s="59"/>
      <c r="R276" s="22"/>
      <c r="S276" s="18">
        <f t="shared" si="59"/>
        <v>0</v>
      </c>
      <c r="T276" s="18">
        <f t="shared" si="64"/>
        <v>13542.05</v>
      </c>
      <c r="U276" s="41">
        <f>IF(SUM($U$4:U275)=1,0,IF(SUM($Q$4:Q276)&gt;39891.29,1,0))</f>
        <v>0</v>
      </c>
      <c r="V276" s="23"/>
      <c r="W276" s="23"/>
      <c r="X276" s="23"/>
      <c r="Y276" s="23"/>
      <c r="AA276" s="51"/>
      <c r="AB276" s="51"/>
      <c r="AC276" s="52"/>
      <c r="AD276" s="52"/>
      <c r="AE276" s="51"/>
      <c r="AF276" s="53"/>
      <c r="AG276" s="54"/>
      <c r="AH276" s="52"/>
      <c r="AI276" s="28"/>
      <c r="AJ276" s="55"/>
      <c r="AL276" s="66">
        <f t="shared" si="70"/>
        <v>2.1161377730456316E-2</v>
      </c>
      <c r="AV276" s="32"/>
    </row>
    <row r="277" spans="2:48" ht="16.5" thickBot="1" x14ac:dyDescent="0.3">
      <c r="B277" s="33">
        <v>274</v>
      </c>
      <c r="C277" s="34">
        <f t="shared" si="65"/>
        <v>47679</v>
      </c>
      <c r="D277" s="35">
        <f t="shared" si="60"/>
        <v>2030</v>
      </c>
      <c r="E277" s="36">
        <f t="shared" si="66"/>
        <v>697345.07999999961</v>
      </c>
      <c r="F277" s="36">
        <v>14450.98</v>
      </c>
      <c r="G277" s="37">
        <f t="shared" si="61"/>
        <v>2.0722853597819904E-2</v>
      </c>
      <c r="H277" s="36">
        <f t="shared" si="69"/>
        <v>100</v>
      </c>
      <c r="I277" s="36">
        <f t="shared" si="62"/>
        <v>711896.05999999959</v>
      </c>
      <c r="K277" s="36">
        <f t="shared" si="58"/>
        <v>33780.008846971738</v>
      </c>
      <c r="L277" s="37">
        <v>2.5000000000000001E-2</v>
      </c>
      <c r="M277" s="36">
        <f t="shared" si="63"/>
        <v>100</v>
      </c>
      <c r="N277" s="36">
        <f t="shared" si="67"/>
        <v>1385080.3627258411</v>
      </c>
      <c r="P277" s="38">
        <f t="shared" si="68"/>
        <v>13542.05</v>
      </c>
      <c r="Q277" s="56"/>
      <c r="R277" s="40"/>
      <c r="S277" s="36">
        <f t="shared" si="59"/>
        <v>100</v>
      </c>
      <c r="T277" s="36">
        <f t="shared" si="64"/>
        <v>13642.05</v>
      </c>
      <c r="U277" s="41">
        <f>IF(SUM($U$4:U276)=1,0,IF(SUM($Q$4:Q277)&gt;39891.29,1,0))</f>
        <v>0</v>
      </c>
      <c r="V277" s="36"/>
      <c r="W277" s="36"/>
      <c r="X277" s="36"/>
      <c r="Y277" s="36"/>
      <c r="AA277" s="42"/>
      <c r="AB277" s="42"/>
      <c r="AC277" s="43"/>
      <c r="AD277" s="43"/>
      <c r="AE277" s="42"/>
      <c r="AF277" s="44"/>
      <c r="AG277" s="45"/>
      <c r="AH277" s="43"/>
      <c r="AI277" s="46"/>
      <c r="AJ277" s="47"/>
      <c r="AL277" s="66">
        <f t="shared" si="70"/>
        <v>2.0722853597819904E-2</v>
      </c>
      <c r="AV277" s="32"/>
    </row>
    <row r="278" spans="2:48" ht="16.5" thickBot="1" x14ac:dyDescent="0.3">
      <c r="B278" s="15">
        <v>275</v>
      </c>
      <c r="C278" s="16">
        <f t="shared" si="65"/>
        <v>47686</v>
      </c>
      <c r="D278" s="17">
        <f t="shared" si="60"/>
        <v>2030</v>
      </c>
      <c r="E278" s="18">
        <f t="shared" si="66"/>
        <v>711896.05999999959</v>
      </c>
      <c r="F278" s="18">
        <v>14450.98</v>
      </c>
      <c r="G278" s="19">
        <f t="shared" si="61"/>
        <v>2.0299283577998744E-2</v>
      </c>
      <c r="H278" s="18">
        <f t="shared" si="69"/>
        <v>0</v>
      </c>
      <c r="I278" s="18">
        <f t="shared" si="62"/>
        <v>726347.03999999957</v>
      </c>
      <c r="K278" s="18">
        <f t="shared" si="58"/>
        <v>34627.009068146028</v>
      </c>
      <c r="L278" s="19">
        <v>2.5000000000000001E-2</v>
      </c>
      <c r="M278" s="18">
        <f t="shared" si="63"/>
        <v>0</v>
      </c>
      <c r="N278" s="18">
        <f t="shared" si="67"/>
        <v>1419707.3717939872</v>
      </c>
      <c r="P278" s="20">
        <f t="shared" si="68"/>
        <v>13642.05</v>
      </c>
      <c r="Q278" s="59"/>
      <c r="R278" s="22"/>
      <c r="S278" s="18">
        <f t="shared" si="59"/>
        <v>0</v>
      </c>
      <c r="T278" s="18">
        <f t="shared" si="64"/>
        <v>13642.05</v>
      </c>
      <c r="U278" s="41">
        <f>IF(SUM($U$4:U277)=1,0,IF(SUM($Q$4:Q278)&gt;39891.29,1,0))</f>
        <v>0</v>
      </c>
      <c r="V278" s="23"/>
      <c r="W278" s="23"/>
      <c r="X278" s="23"/>
      <c r="Y278" s="23"/>
      <c r="AA278" s="51"/>
      <c r="AB278" s="51"/>
      <c r="AC278" s="52"/>
      <c r="AD278" s="52"/>
      <c r="AE278" s="51"/>
      <c r="AF278" s="53"/>
      <c r="AG278" s="54"/>
      <c r="AH278" s="52"/>
      <c r="AI278" s="28"/>
      <c r="AJ278" s="55"/>
      <c r="AL278" s="66">
        <f t="shared" si="70"/>
        <v>2.0299283577998744E-2</v>
      </c>
      <c r="AV278" s="32"/>
    </row>
    <row r="279" spans="2:48" ht="16.5" thickBot="1" x14ac:dyDescent="0.3">
      <c r="B279" s="33">
        <v>276</v>
      </c>
      <c r="C279" s="34">
        <f t="shared" si="65"/>
        <v>47693</v>
      </c>
      <c r="D279" s="35">
        <f t="shared" si="60"/>
        <v>2030</v>
      </c>
      <c r="E279" s="36">
        <f t="shared" si="66"/>
        <v>726347.03999999957</v>
      </c>
      <c r="F279" s="36">
        <v>14450.98</v>
      </c>
      <c r="G279" s="37">
        <f t="shared" si="61"/>
        <v>1.989542078948929E-2</v>
      </c>
      <c r="H279" s="36">
        <f t="shared" si="69"/>
        <v>100</v>
      </c>
      <c r="I279" s="36">
        <f t="shared" si="62"/>
        <v>740898.01999999955</v>
      </c>
      <c r="K279" s="36">
        <f t="shared" si="58"/>
        <v>35492.684294849685</v>
      </c>
      <c r="L279" s="37">
        <v>2.5000000000000001E-2</v>
      </c>
      <c r="M279" s="36">
        <f t="shared" si="63"/>
        <v>100</v>
      </c>
      <c r="N279" s="36">
        <f t="shared" si="67"/>
        <v>1455300.0560888369</v>
      </c>
      <c r="P279" s="38">
        <f t="shared" si="68"/>
        <v>13642.05</v>
      </c>
      <c r="Q279" s="56"/>
      <c r="R279" s="40"/>
      <c r="S279" s="36">
        <f t="shared" si="59"/>
        <v>100</v>
      </c>
      <c r="T279" s="36">
        <f t="shared" si="64"/>
        <v>13742.05</v>
      </c>
      <c r="U279" s="41">
        <f>IF(SUM($U$4:U278)=1,0,IF(SUM($Q$4:Q279)&gt;39891.29,1,0))</f>
        <v>0</v>
      </c>
      <c r="V279" s="36"/>
      <c r="W279" s="36"/>
      <c r="X279" s="36"/>
      <c r="Y279" s="36"/>
      <c r="AA279" s="42"/>
      <c r="AB279" s="42"/>
      <c r="AC279" s="43"/>
      <c r="AD279" s="43"/>
      <c r="AE279" s="42"/>
      <c r="AF279" s="44"/>
      <c r="AG279" s="45"/>
      <c r="AH279" s="43"/>
      <c r="AI279" s="46"/>
      <c r="AJ279" s="47"/>
      <c r="AL279" s="66">
        <f t="shared" si="70"/>
        <v>1.989542078948929E-2</v>
      </c>
      <c r="AV279" s="32"/>
    </row>
    <row r="280" spans="2:48" ht="16.5" thickBot="1" x14ac:dyDescent="0.3">
      <c r="B280" s="15">
        <v>277</v>
      </c>
      <c r="C280" s="16">
        <f t="shared" si="65"/>
        <v>47700</v>
      </c>
      <c r="D280" s="17">
        <f t="shared" si="60"/>
        <v>2030</v>
      </c>
      <c r="E280" s="18">
        <f t="shared" si="66"/>
        <v>740898.01999999955</v>
      </c>
      <c r="F280" s="18">
        <v>14450.98</v>
      </c>
      <c r="G280" s="19">
        <f t="shared" si="61"/>
        <v>1.9504681629463672E-2</v>
      </c>
      <c r="H280" s="18">
        <f t="shared" si="69"/>
        <v>0</v>
      </c>
      <c r="I280" s="18">
        <f t="shared" si="62"/>
        <v>755348.99999999953</v>
      </c>
      <c r="K280" s="18">
        <f t="shared" si="58"/>
        <v>36382.501402220922</v>
      </c>
      <c r="L280" s="19">
        <v>2.5000000000000001E-2</v>
      </c>
      <c r="M280" s="18">
        <f t="shared" si="63"/>
        <v>0</v>
      </c>
      <c r="N280" s="18">
        <f t="shared" si="67"/>
        <v>1491682.5574910578</v>
      </c>
      <c r="P280" s="20">
        <f t="shared" si="68"/>
        <v>13742.05</v>
      </c>
      <c r="Q280" s="59"/>
      <c r="R280" s="22"/>
      <c r="S280" s="18">
        <f t="shared" si="59"/>
        <v>0</v>
      </c>
      <c r="T280" s="18">
        <f t="shared" si="64"/>
        <v>13742.05</v>
      </c>
      <c r="U280" s="41">
        <f>IF(SUM($U$4:U279)=1,0,IF(SUM($Q$4:Q280)&gt;39891.29,1,0))</f>
        <v>0</v>
      </c>
      <c r="V280" s="23"/>
      <c r="W280" s="23"/>
      <c r="X280" s="23"/>
      <c r="Y280" s="23"/>
      <c r="AA280" s="51"/>
      <c r="AB280" s="51"/>
      <c r="AC280" s="52"/>
      <c r="AD280" s="52"/>
      <c r="AE280" s="51"/>
      <c r="AF280" s="53"/>
      <c r="AG280" s="54"/>
      <c r="AH280" s="52"/>
      <c r="AI280" s="28"/>
      <c r="AJ280" s="55"/>
      <c r="AL280" s="66">
        <f t="shared" si="70"/>
        <v>1.9504681629463672E-2</v>
      </c>
      <c r="AV280" s="32"/>
    </row>
    <row r="281" spans="2:48" ht="16.5" thickBot="1" x14ac:dyDescent="0.3">
      <c r="B281" s="33">
        <v>278</v>
      </c>
      <c r="C281" s="34">
        <f t="shared" si="65"/>
        <v>47707</v>
      </c>
      <c r="D281" s="35">
        <f t="shared" si="60"/>
        <v>2030</v>
      </c>
      <c r="E281" s="36">
        <f t="shared" si="66"/>
        <v>755348.99999999953</v>
      </c>
      <c r="F281" s="36">
        <v>14450.98</v>
      </c>
      <c r="G281" s="37">
        <f t="shared" si="61"/>
        <v>1.9131527280766916E-2</v>
      </c>
      <c r="H281" s="36">
        <f t="shared" si="69"/>
        <v>100</v>
      </c>
      <c r="I281" s="36">
        <f t="shared" si="62"/>
        <v>769899.97999999952</v>
      </c>
      <c r="K281" s="36">
        <f t="shared" si="58"/>
        <v>37292.063937276449</v>
      </c>
      <c r="L281" s="37">
        <v>2.5000000000000001E-2</v>
      </c>
      <c r="M281" s="36">
        <f t="shared" si="63"/>
        <v>100</v>
      </c>
      <c r="N281" s="36">
        <f t="shared" si="67"/>
        <v>1529074.6214283342</v>
      </c>
      <c r="P281" s="38">
        <f t="shared" si="68"/>
        <v>13742.05</v>
      </c>
      <c r="Q281" s="56"/>
      <c r="R281" s="40"/>
      <c r="S281" s="36">
        <f t="shared" si="59"/>
        <v>100</v>
      </c>
      <c r="T281" s="36">
        <f t="shared" si="64"/>
        <v>13842.05</v>
      </c>
      <c r="U281" s="41">
        <f>IF(SUM($U$4:U280)=1,0,IF(SUM($Q$4:Q281)&gt;39891.29,1,0))</f>
        <v>0</v>
      </c>
      <c r="V281" s="36"/>
      <c r="W281" s="36"/>
      <c r="X281" s="36"/>
      <c r="Y281" s="36"/>
      <c r="AA281" s="42"/>
      <c r="AB281" s="42"/>
      <c r="AC281" s="43"/>
      <c r="AD281" s="43"/>
      <c r="AE281" s="42"/>
      <c r="AF281" s="44"/>
      <c r="AG281" s="45"/>
      <c r="AH281" s="43"/>
      <c r="AI281" s="46"/>
      <c r="AJ281" s="47"/>
      <c r="AL281" s="66">
        <f t="shared" si="70"/>
        <v>1.9131527280766916E-2</v>
      </c>
      <c r="AV281" s="32"/>
    </row>
    <row r="282" spans="2:48" ht="16.5" thickBot="1" x14ac:dyDescent="0.3">
      <c r="B282" s="15">
        <v>279</v>
      </c>
      <c r="C282" s="16">
        <f t="shared" si="65"/>
        <v>47714</v>
      </c>
      <c r="D282" s="17">
        <f t="shared" si="60"/>
        <v>2030</v>
      </c>
      <c r="E282" s="18">
        <f t="shared" si="66"/>
        <v>769899.97999999952</v>
      </c>
      <c r="F282" s="18">
        <v>14450.98</v>
      </c>
      <c r="G282" s="19">
        <f t="shared" si="61"/>
        <v>1.8769944636185091E-2</v>
      </c>
      <c r="H282" s="18">
        <f t="shared" si="69"/>
        <v>0</v>
      </c>
      <c r="I282" s="18">
        <f t="shared" si="62"/>
        <v>784350.9599999995</v>
      </c>
      <c r="K282" s="18">
        <f t="shared" si="58"/>
        <v>38226.865535708355</v>
      </c>
      <c r="L282" s="19">
        <v>2.5000000000000001E-2</v>
      </c>
      <c r="M282" s="18">
        <f t="shared" si="63"/>
        <v>0</v>
      </c>
      <c r="N282" s="18">
        <f t="shared" si="67"/>
        <v>1567301.4869640425</v>
      </c>
      <c r="P282" s="20">
        <f t="shared" si="68"/>
        <v>13842.05</v>
      </c>
      <c r="Q282" s="59"/>
      <c r="R282" s="22"/>
      <c r="S282" s="18">
        <f t="shared" si="59"/>
        <v>0</v>
      </c>
      <c r="T282" s="18">
        <f t="shared" si="64"/>
        <v>13842.05</v>
      </c>
      <c r="U282" s="41">
        <f>IF(SUM($U$4:U281)=1,0,IF(SUM($Q$4:Q282)&gt;39891.29,1,0))</f>
        <v>0</v>
      </c>
      <c r="V282" s="23"/>
      <c r="W282" s="23"/>
      <c r="X282" s="23"/>
      <c r="Y282" s="23"/>
      <c r="AA282" s="51"/>
      <c r="AB282" s="51"/>
      <c r="AC282" s="52"/>
      <c r="AD282" s="52"/>
      <c r="AE282" s="51"/>
      <c r="AF282" s="53"/>
      <c r="AG282" s="54"/>
      <c r="AH282" s="52"/>
      <c r="AI282" s="28"/>
      <c r="AJ282" s="55"/>
      <c r="AL282" s="66">
        <f t="shared" si="70"/>
        <v>1.8769944636185091E-2</v>
      </c>
      <c r="AV282" s="32"/>
    </row>
    <row r="283" spans="2:48" ht="16.5" thickBot="1" x14ac:dyDescent="0.3">
      <c r="B283" s="33">
        <v>280</v>
      </c>
      <c r="C283" s="34">
        <f t="shared" si="65"/>
        <v>47721</v>
      </c>
      <c r="D283" s="35">
        <f t="shared" si="60"/>
        <v>2030</v>
      </c>
      <c r="E283" s="36">
        <f t="shared" si="66"/>
        <v>784350.9599999995</v>
      </c>
      <c r="F283" s="36">
        <v>14450.98</v>
      </c>
      <c r="G283" s="37">
        <f t="shared" si="61"/>
        <v>1.8424124833097685E-2</v>
      </c>
      <c r="H283" s="36">
        <f t="shared" si="69"/>
        <v>100</v>
      </c>
      <c r="I283" s="36">
        <f t="shared" si="62"/>
        <v>798901.93999999948</v>
      </c>
      <c r="K283" s="36">
        <f t="shared" si="58"/>
        <v>39182.537174101068</v>
      </c>
      <c r="L283" s="37">
        <v>2.5000000000000001E-2</v>
      </c>
      <c r="M283" s="36">
        <f t="shared" si="63"/>
        <v>100</v>
      </c>
      <c r="N283" s="36">
        <f t="shared" si="67"/>
        <v>1606584.0241381435</v>
      </c>
      <c r="P283" s="38">
        <f t="shared" si="68"/>
        <v>13842.05</v>
      </c>
      <c r="Q283" s="56"/>
      <c r="R283" s="40"/>
      <c r="S283" s="36">
        <f t="shared" si="59"/>
        <v>100</v>
      </c>
      <c r="T283" s="36">
        <f t="shared" si="64"/>
        <v>13942.05</v>
      </c>
      <c r="U283" s="41">
        <f>IF(SUM($U$4:U282)=1,0,IF(SUM($Q$4:Q283)&gt;39891.29,1,0))</f>
        <v>0</v>
      </c>
      <c r="V283" s="36"/>
      <c r="W283" s="36"/>
      <c r="X283" s="36"/>
      <c r="Y283" s="36"/>
      <c r="AA283" s="42"/>
      <c r="AB283" s="42"/>
      <c r="AC283" s="43"/>
      <c r="AD283" s="43"/>
      <c r="AE283" s="42"/>
      <c r="AF283" s="44"/>
      <c r="AG283" s="45"/>
      <c r="AH283" s="43"/>
      <c r="AI283" s="46"/>
      <c r="AJ283" s="47"/>
      <c r="AL283" s="66">
        <f t="shared" si="70"/>
        <v>1.8424124833097685E-2</v>
      </c>
      <c r="AV283" s="32"/>
    </row>
    <row r="284" spans="2:48" ht="16.5" thickBot="1" x14ac:dyDescent="0.3">
      <c r="B284" s="15">
        <v>281</v>
      </c>
      <c r="C284" s="16">
        <f t="shared" si="65"/>
        <v>47728</v>
      </c>
      <c r="D284" s="17">
        <f t="shared" si="60"/>
        <v>2030</v>
      </c>
      <c r="E284" s="18">
        <f t="shared" si="66"/>
        <v>798901.93999999948</v>
      </c>
      <c r="F284" s="18">
        <v>14450.98</v>
      </c>
      <c r="G284" s="19">
        <f t="shared" si="61"/>
        <v>1.808855289549054E-2</v>
      </c>
      <c r="H284" s="18">
        <f t="shared" si="69"/>
        <v>0</v>
      </c>
      <c r="I284" s="18">
        <f t="shared" si="62"/>
        <v>813352.91999999946</v>
      </c>
      <c r="K284" s="18">
        <f t="shared" si="58"/>
        <v>40164.600603453589</v>
      </c>
      <c r="L284" s="19">
        <v>2.5000000000000001E-2</v>
      </c>
      <c r="M284" s="18">
        <f t="shared" si="63"/>
        <v>0</v>
      </c>
      <c r="N284" s="18">
        <f t="shared" si="67"/>
        <v>1646748.6247415971</v>
      </c>
      <c r="P284" s="20">
        <f t="shared" si="68"/>
        <v>13942.05</v>
      </c>
      <c r="Q284" s="59"/>
      <c r="R284" s="22"/>
      <c r="S284" s="18">
        <f t="shared" si="59"/>
        <v>0</v>
      </c>
      <c r="T284" s="18">
        <f t="shared" si="64"/>
        <v>13942.05</v>
      </c>
      <c r="U284" s="41">
        <f>IF(SUM($U$4:U283)=1,0,IF(SUM($Q$4:Q284)&gt;39891.29,1,0))</f>
        <v>0</v>
      </c>
      <c r="V284" s="23"/>
      <c r="W284" s="23"/>
      <c r="X284" s="23"/>
      <c r="Y284" s="23"/>
      <c r="AA284" s="51"/>
      <c r="AB284" s="51"/>
      <c r="AC284" s="52"/>
      <c r="AD284" s="52"/>
      <c r="AE284" s="51"/>
      <c r="AF284" s="53"/>
      <c r="AG284" s="54"/>
      <c r="AH284" s="52"/>
      <c r="AI284" s="28"/>
      <c r="AJ284" s="55"/>
      <c r="AL284" s="66">
        <f t="shared" si="70"/>
        <v>1.808855289549054E-2</v>
      </c>
      <c r="AV284" s="32"/>
    </row>
    <row r="285" spans="2:48" ht="16.5" thickBot="1" x14ac:dyDescent="0.3">
      <c r="B285" s="33">
        <v>282</v>
      </c>
      <c r="C285" s="34">
        <f t="shared" si="65"/>
        <v>47735</v>
      </c>
      <c r="D285" s="35">
        <f t="shared" si="60"/>
        <v>2030</v>
      </c>
      <c r="E285" s="36">
        <f t="shared" si="66"/>
        <v>813352.91999999946</v>
      </c>
      <c r="F285" s="36">
        <v>14450.98</v>
      </c>
      <c r="G285" s="37">
        <f t="shared" si="61"/>
        <v>1.7767170492238485E-2</v>
      </c>
      <c r="H285" s="36">
        <f t="shared" si="69"/>
        <v>100</v>
      </c>
      <c r="I285" s="36">
        <f t="shared" si="62"/>
        <v>827903.89999999944</v>
      </c>
      <c r="K285" s="36">
        <f t="shared" si="58"/>
        <v>41168.715618539929</v>
      </c>
      <c r="L285" s="37">
        <v>2.5000000000000001E-2</v>
      </c>
      <c r="M285" s="36">
        <f t="shared" si="63"/>
        <v>100</v>
      </c>
      <c r="N285" s="36">
        <f t="shared" si="67"/>
        <v>1688017.3403601369</v>
      </c>
      <c r="P285" s="38">
        <f t="shared" si="68"/>
        <v>13942.05</v>
      </c>
      <c r="Q285" s="56"/>
      <c r="R285" s="40"/>
      <c r="S285" s="36">
        <f t="shared" si="59"/>
        <v>100</v>
      </c>
      <c r="T285" s="36">
        <f t="shared" si="64"/>
        <v>14042.05</v>
      </c>
      <c r="U285" s="41">
        <f>IF(SUM($U$4:U284)=1,0,IF(SUM($Q$4:Q285)&gt;39891.29,1,0))</f>
        <v>0</v>
      </c>
      <c r="V285" s="36"/>
      <c r="W285" s="36"/>
      <c r="X285" s="36"/>
      <c r="Y285" s="36"/>
      <c r="AA285" s="42"/>
      <c r="AB285" s="42"/>
      <c r="AC285" s="43"/>
      <c r="AD285" s="43"/>
      <c r="AE285" s="42"/>
      <c r="AF285" s="44"/>
      <c r="AG285" s="45"/>
      <c r="AH285" s="43"/>
      <c r="AI285" s="46"/>
      <c r="AJ285" s="47"/>
      <c r="AL285" s="66">
        <f t="shared" si="70"/>
        <v>1.7767170492238485E-2</v>
      </c>
      <c r="AV285" s="32"/>
    </row>
    <row r="286" spans="2:48" ht="16.5" thickBot="1" x14ac:dyDescent="0.3">
      <c r="B286" s="15">
        <v>283</v>
      </c>
      <c r="C286" s="16">
        <f t="shared" si="65"/>
        <v>47742</v>
      </c>
      <c r="D286" s="17">
        <f t="shared" si="60"/>
        <v>2030</v>
      </c>
      <c r="E286" s="18">
        <f t="shared" si="66"/>
        <v>827903.89999999944</v>
      </c>
      <c r="F286" s="18">
        <v>14450.98</v>
      </c>
      <c r="G286" s="19">
        <f t="shared" si="61"/>
        <v>1.745490026076699E-2</v>
      </c>
      <c r="H286" s="18">
        <f t="shared" si="69"/>
        <v>0</v>
      </c>
      <c r="I286" s="18">
        <f t="shared" si="62"/>
        <v>842354.87999999942</v>
      </c>
      <c r="K286" s="18">
        <f t="shared" si="58"/>
        <v>42200.433509003429</v>
      </c>
      <c r="L286" s="19">
        <v>2.5000000000000001E-2</v>
      </c>
      <c r="M286" s="18">
        <f t="shared" si="63"/>
        <v>0</v>
      </c>
      <c r="N286" s="18">
        <f t="shared" si="67"/>
        <v>1730217.7738691403</v>
      </c>
      <c r="P286" s="20">
        <f t="shared" si="68"/>
        <v>14042.05</v>
      </c>
      <c r="Q286" s="59"/>
      <c r="R286" s="22"/>
      <c r="S286" s="18">
        <f t="shared" si="59"/>
        <v>0</v>
      </c>
      <c r="T286" s="18">
        <f t="shared" si="64"/>
        <v>14042.05</v>
      </c>
      <c r="U286" s="41">
        <f>IF(SUM($U$4:U285)=1,0,IF(SUM($Q$4:Q286)&gt;39891.29,1,0))</f>
        <v>0</v>
      </c>
      <c r="V286" s="23"/>
      <c r="W286" s="23"/>
      <c r="X286" s="23"/>
      <c r="Y286" s="23"/>
      <c r="AA286" s="51"/>
      <c r="AB286" s="51"/>
      <c r="AC286" s="52"/>
      <c r="AD286" s="52"/>
      <c r="AE286" s="51"/>
      <c r="AF286" s="53"/>
      <c r="AG286" s="54"/>
      <c r="AH286" s="52"/>
      <c r="AI286" s="28"/>
      <c r="AJ286" s="55"/>
      <c r="AL286" s="66">
        <f t="shared" si="70"/>
        <v>1.745490026076699E-2</v>
      </c>
      <c r="AV286" s="32"/>
    </row>
    <row r="287" spans="2:48" ht="16.5" thickBot="1" x14ac:dyDescent="0.3">
      <c r="B287" s="33">
        <v>284</v>
      </c>
      <c r="C287" s="34">
        <f t="shared" si="65"/>
        <v>47749</v>
      </c>
      <c r="D287" s="35">
        <f t="shared" si="60"/>
        <v>2030</v>
      </c>
      <c r="E287" s="36">
        <f t="shared" si="66"/>
        <v>842354.87999999942</v>
      </c>
      <c r="F287" s="36">
        <v>14450.98</v>
      </c>
      <c r="G287" s="37">
        <f t="shared" si="61"/>
        <v>1.715545353046451E-2</v>
      </c>
      <c r="H287" s="36">
        <f t="shared" si="69"/>
        <v>100</v>
      </c>
      <c r="I287" s="36">
        <f t="shared" si="62"/>
        <v>856905.8599999994</v>
      </c>
      <c r="K287" s="36">
        <f t="shared" si="58"/>
        <v>43255.444346728509</v>
      </c>
      <c r="L287" s="37">
        <v>2.5000000000000001E-2</v>
      </c>
      <c r="M287" s="36">
        <f t="shared" si="63"/>
        <v>100</v>
      </c>
      <c r="N287" s="36">
        <f t="shared" si="67"/>
        <v>1773573.2182158688</v>
      </c>
      <c r="P287" s="38">
        <f t="shared" si="68"/>
        <v>14042.05</v>
      </c>
      <c r="Q287" s="56"/>
      <c r="R287" s="40"/>
      <c r="S287" s="36">
        <f t="shared" si="59"/>
        <v>100</v>
      </c>
      <c r="T287" s="36">
        <f t="shared" si="64"/>
        <v>14142.05</v>
      </c>
      <c r="U287" s="41">
        <f>IF(SUM($U$4:U286)=1,0,IF(SUM($Q$4:Q287)&gt;39891.29,1,0))</f>
        <v>0</v>
      </c>
      <c r="V287" s="36"/>
      <c r="W287" s="36"/>
      <c r="X287" s="36"/>
      <c r="Y287" s="36"/>
      <c r="AA287" s="42"/>
      <c r="AB287" s="42"/>
      <c r="AC287" s="43"/>
      <c r="AD287" s="43"/>
      <c r="AE287" s="42"/>
      <c r="AF287" s="44"/>
      <c r="AG287" s="45"/>
      <c r="AH287" s="43"/>
      <c r="AI287" s="46"/>
      <c r="AJ287" s="47"/>
      <c r="AL287" s="66">
        <f t="shared" si="70"/>
        <v>1.715545353046451E-2</v>
      </c>
      <c r="AV287" s="32"/>
    </row>
    <row r="288" spans="2:48" ht="16.5" thickBot="1" x14ac:dyDescent="0.3">
      <c r="B288" s="15">
        <v>285</v>
      </c>
      <c r="C288" s="16">
        <f t="shared" si="65"/>
        <v>47756</v>
      </c>
      <c r="D288" s="17">
        <f t="shared" si="60"/>
        <v>2030</v>
      </c>
      <c r="E288" s="18">
        <f t="shared" si="66"/>
        <v>856905.8599999994</v>
      </c>
      <c r="F288" s="18">
        <v>14450.98</v>
      </c>
      <c r="G288" s="19">
        <f t="shared" si="61"/>
        <v>1.6864139545037082E-2</v>
      </c>
      <c r="H288" s="18">
        <f t="shared" si="69"/>
        <v>0</v>
      </c>
      <c r="I288" s="18">
        <f t="shared" si="62"/>
        <v>871356.83999999939</v>
      </c>
      <c r="K288" s="18">
        <f t="shared" si="58"/>
        <v>44339.330455396725</v>
      </c>
      <c r="L288" s="19">
        <v>2.5000000000000001E-2</v>
      </c>
      <c r="M288" s="18">
        <f t="shared" si="63"/>
        <v>0</v>
      </c>
      <c r="N288" s="18">
        <f t="shared" si="67"/>
        <v>1817912.5486712656</v>
      </c>
      <c r="P288" s="20">
        <f t="shared" si="68"/>
        <v>14142.05</v>
      </c>
      <c r="Q288" s="59"/>
      <c r="R288" s="22"/>
      <c r="S288" s="18">
        <f t="shared" si="59"/>
        <v>0</v>
      </c>
      <c r="T288" s="18">
        <f t="shared" si="64"/>
        <v>14142.05</v>
      </c>
      <c r="U288" s="41">
        <f>IF(SUM($U$4:U287)=1,0,IF(SUM($Q$4:Q288)&gt;39891.29,1,0))</f>
        <v>0</v>
      </c>
      <c r="V288" s="23"/>
      <c r="W288" s="23"/>
      <c r="X288" s="23"/>
      <c r="Y288" s="23"/>
      <c r="AA288" s="51"/>
      <c r="AB288" s="51"/>
      <c r="AC288" s="52"/>
      <c r="AD288" s="52"/>
      <c r="AE288" s="51"/>
      <c r="AF288" s="53"/>
      <c r="AG288" s="54"/>
      <c r="AH288" s="52"/>
      <c r="AI288" s="28"/>
      <c r="AJ288" s="55"/>
      <c r="AL288" s="66">
        <f t="shared" si="70"/>
        <v>1.6864139545037082E-2</v>
      </c>
      <c r="AV288" s="32"/>
    </row>
    <row r="289" spans="2:48" ht="16.5" thickBot="1" x14ac:dyDescent="0.3">
      <c r="B289" s="33">
        <v>286</v>
      </c>
      <c r="C289" s="34">
        <f t="shared" si="65"/>
        <v>47763</v>
      </c>
      <c r="D289" s="35">
        <f t="shared" si="60"/>
        <v>2030</v>
      </c>
      <c r="E289" s="36">
        <f t="shared" si="66"/>
        <v>871356.83999999939</v>
      </c>
      <c r="F289" s="36">
        <v>14450.98</v>
      </c>
      <c r="G289" s="37">
        <f t="shared" si="61"/>
        <v>1.6584456948774293E-2</v>
      </c>
      <c r="H289" s="36">
        <f t="shared" si="69"/>
        <v>100</v>
      </c>
      <c r="I289" s="36">
        <f t="shared" si="62"/>
        <v>885907.81999999937</v>
      </c>
      <c r="K289" s="36">
        <f t="shared" si="58"/>
        <v>45447.813716781646</v>
      </c>
      <c r="L289" s="37">
        <v>2.5000000000000001E-2</v>
      </c>
      <c r="M289" s="36">
        <f t="shared" si="63"/>
        <v>100</v>
      </c>
      <c r="N289" s="36">
        <f t="shared" si="67"/>
        <v>1863460.3623880472</v>
      </c>
      <c r="P289" s="38">
        <f t="shared" si="68"/>
        <v>14142.05</v>
      </c>
      <c r="Q289" s="56"/>
      <c r="R289" s="40"/>
      <c r="S289" s="36">
        <f t="shared" si="59"/>
        <v>100</v>
      </c>
      <c r="T289" s="36">
        <f t="shared" si="64"/>
        <v>14242.05</v>
      </c>
      <c r="U289" s="41">
        <f>IF(SUM($U$4:U288)=1,0,IF(SUM($Q$4:Q289)&gt;39891.29,1,0))</f>
        <v>0</v>
      </c>
      <c r="V289" s="36"/>
      <c r="W289" s="36"/>
      <c r="X289" s="36"/>
      <c r="Y289" s="36"/>
      <c r="AA289" s="42"/>
      <c r="AB289" s="42"/>
      <c r="AC289" s="43"/>
      <c r="AD289" s="43"/>
      <c r="AE289" s="42"/>
      <c r="AF289" s="44"/>
      <c r="AG289" s="45"/>
      <c r="AH289" s="43"/>
      <c r="AI289" s="46"/>
      <c r="AJ289" s="47"/>
      <c r="AL289" s="66">
        <f t="shared" si="70"/>
        <v>1.6584456948774293E-2</v>
      </c>
      <c r="AV289" s="32"/>
    </row>
    <row r="290" spans="2:48" ht="16.5" thickBot="1" x14ac:dyDescent="0.3">
      <c r="B290" s="15">
        <v>287</v>
      </c>
      <c r="C290" s="16">
        <f t="shared" si="65"/>
        <v>47770</v>
      </c>
      <c r="D290" s="17">
        <f t="shared" si="60"/>
        <v>2030</v>
      </c>
      <c r="E290" s="18">
        <f t="shared" si="66"/>
        <v>885907.81999999937</v>
      </c>
      <c r="F290" s="18">
        <v>14450.98</v>
      </c>
      <c r="G290" s="19">
        <f t="shared" si="61"/>
        <v>1.6312058290669576E-2</v>
      </c>
      <c r="H290" s="18">
        <f t="shared" si="69"/>
        <v>0</v>
      </c>
      <c r="I290" s="18">
        <f t="shared" si="62"/>
        <v>900358.79999999935</v>
      </c>
      <c r="K290" s="18">
        <f t="shared" si="58"/>
        <v>46586.50905970118</v>
      </c>
      <c r="L290" s="19">
        <v>2.5000000000000001E-2</v>
      </c>
      <c r="M290" s="18">
        <f t="shared" si="63"/>
        <v>0</v>
      </c>
      <c r="N290" s="18">
        <f t="shared" si="67"/>
        <v>1910046.8714477483</v>
      </c>
      <c r="P290" s="20">
        <f t="shared" si="68"/>
        <v>14242.05</v>
      </c>
      <c r="Q290" s="59"/>
      <c r="R290" s="22"/>
      <c r="S290" s="18">
        <f t="shared" si="59"/>
        <v>0</v>
      </c>
      <c r="T290" s="18">
        <f t="shared" si="64"/>
        <v>14242.05</v>
      </c>
      <c r="U290" s="41">
        <f>IF(SUM($U$4:U289)=1,0,IF(SUM($Q$4:Q290)&gt;39891.29,1,0))</f>
        <v>0</v>
      </c>
      <c r="V290" s="23"/>
      <c r="W290" s="23"/>
      <c r="X290" s="23"/>
      <c r="Y290" s="23"/>
      <c r="AA290" s="51"/>
      <c r="AB290" s="51"/>
      <c r="AC290" s="52"/>
      <c r="AD290" s="52"/>
      <c r="AE290" s="51"/>
      <c r="AF290" s="53"/>
      <c r="AG290" s="54"/>
      <c r="AH290" s="52"/>
      <c r="AI290" s="28"/>
      <c r="AJ290" s="55"/>
      <c r="AL290" s="66">
        <f t="shared" si="70"/>
        <v>1.6312058290669576E-2</v>
      </c>
      <c r="AV290" s="32"/>
    </row>
    <row r="291" spans="2:48" ht="16.5" thickBot="1" x14ac:dyDescent="0.3">
      <c r="B291" s="33">
        <v>288</v>
      </c>
      <c r="C291" s="34">
        <f t="shared" si="65"/>
        <v>47777</v>
      </c>
      <c r="D291" s="35">
        <f t="shared" si="60"/>
        <v>2030</v>
      </c>
      <c r="E291" s="36">
        <f t="shared" si="66"/>
        <v>900358.79999999935</v>
      </c>
      <c r="F291" s="36">
        <v>14450.98</v>
      </c>
      <c r="G291" s="37">
        <f t="shared" si="61"/>
        <v>1.6050245746473527E-2</v>
      </c>
      <c r="H291" s="36">
        <f t="shared" si="69"/>
        <v>100</v>
      </c>
      <c r="I291" s="36">
        <f t="shared" si="62"/>
        <v>914909.77999999933</v>
      </c>
      <c r="K291" s="36">
        <f t="shared" si="58"/>
        <v>47751.171786193707</v>
      </c>
      <c r="L291" s="37">
        <v>2.5000000000000001E-2</v>
      </c>
      <c r="M291" s="36">
        <f t="shared" si="63"/>
        <v>100</v>
      </c>
      <c r="N291" s="36">
        <f t="shared" si="67"/>
        <v>1957898.043233942</v>
      </c>
      <c r="P291" s="38">
        <f t="shared" si="68"/>
        <v>14242.05</v>
      </c>
      <c r="Q291" s="56"/>
      <c r="R291" s="40"/>
      <c r="S291" s="36">
        <f t="shared" si="59"/>
        <v>100</v>
      </c>
      <c r="T291" s="36">
        <f t="shared" si="64"/>
        <v>14342.05</v>
      </c>
      <c r="U291" s="41">
        <f>IF(SUM($U$4:U290)=1,0,IF(SUM($Q$4:Q291)&gt;39891.29,1,0))</f>
        <v>0</v>
      </c>
      <c r="V291" s="36"/>
      <c r="W291" s="36"/>
      <c r="X291" s="36"/>
      <c r="Y291" s="36"/>
      <c r="AA291" s="42"/>
      <c r="AB291" s="42"/>
      <c r="AC291" s="43"/>
      <c r="AD291" s="43"/>
      <c r="AE291" s="42"/>
      <c r="AF291" s="44"/>
      <c r="AG291" s="45"/>
      <c r="AH291" s="43"/>
      <c r="AI291" s="46"/>
      <c r="AJ291" s="47"/>
      <c r="AL291" s="66">
        <f t="shared" si="70"/>
        <v>1.6050245746473527E-2</v>
      </c>
      <c r="AV291" s="32"/>
    </row>
    <row r="292" spans="2:48" ht="16.5" thickBot="1" x14ac:dyDescent="0.3">
      <c r="B292" s="15">
        <v>289</v>
      </c>
      <c r="C292" s="16">
        <f t="shared" si="65"/>
        <v>47784</v>
      </c>
      <c r="D292" s="17">
        <f t="shared" si="60"/>
        <v>2030</v>
      </c>
      <c r="E292" s="18">
        <f t="shared" si="66"/>
        <v>914909.77999999933</v>
      </c>
      <c r="F292" s="18">
        <v>14450.98</v>
      </c>
      <c r="G292" s="19">
        <f t="shared" si="61"/>
        <v>1.5794978167136885E-2</v>
      </c>
      <c r="H292" s="18">
        <f t="shared" si="69"/>
        <v>0</v>
      </c>
      <c r="I292" s="18">
        <f t="shared" si="62"/>
        <v>929360.75999999931</v>
      </c>
      <c r="K292" s="18">
        <f t="shared" si="58"/>
        <v>48947.45108084855</v>
      </c>
      <c r="L292" s="19">
        <v>2.5000000000000001E-2</v>
      </c>
      <c r="M292" s="18">
        <f t="shared" si="63"/>
        <v>0</v>
      </c>
      <c r="N292" s="18">
        <f t="shared" si="67"/>
        <v>2006845.4943147905</v>
      </c>
      <c r="P292" s="20">
        <f t="shared" si="68"/>
        <v>14342.05</v>
      </c>
      <c r="Q292" s="59"/>
      <c r="R292" s="22"/>
      <c r="S292" s="18">
        <f t="shared" si="59"/>
        <v>0</v>
      </c>
      <c r="T292" s="18">
        <f t="shared" si="64"/>
        <v>14342.05</v>
      </c>
      <c r="U292" s="41">
        <f>IF(SUM($U$4:U291)=1,0,IF(SUM($Q$4:Q292)&gt;39891.29,1,0))</f>
        <v>0</v>
      </c>
      <c r="V292" s="23"/>
      <c r="W292" s="23"/>
      <c r="X292" s="23"/>
      <c r="Y292" s="23"/>
      <c r="AA292" s="51"/>
      <c r="AB292" s="51"/>
      <c r="AC292" s="52"/>
      <c r="AD292" s="52"/>
      <c r="AE292" s="51"/>
      <c r="AF292" s="53"/>
      <c r="AG292" s="54"/>
      <c r="AH292" s="52"/>
      <c r="AI292" s="28"/>
      <c r="AJ292" s="55"/>
      <c r="AL292" s="66">
        <f t="shared" si="70"/>
        <v>1.5794978167136885E-2</v>
      </c>
      <c r="AV292" s="32"/>
    </row>
    <row r="293" spans="2:48" ht="16.5" thickBot="1" x14ac:dyDescent="0.3">
      <c r="B293" s="33">
        <v>290</v>
      </c>
      <c r="C293" s="34">
        <f t="shared" si="65"/>
        <v>47791</v>
      </c>
      <c r="D293" s="35">
        <f t="shared" si="60"/>
        <v>2030</v>
      </c>
      <c r="E293" s="36">
        <f t="shared" si="66"/>
        <v>929360.75999999931</v>
      </c>
      <c r="F293" s="36">
        <v>14450.98</v>
      </c>
      <c r="G293" s="37">
        <f t="shared" si="61"/>
        <v>1.5549376110951802E-2</v>
      </c>
      <c r="H293" s="36">
        <f t="shared" si="69"/>
        <v>100</v>
      </c>
      <c r="I293" s="36">
        <f t="shared" si="62"/>
        <v>943911.73999999929</v>
      </c>
      <c r="K293" s="36">
        <f t="shared" si="58"/>
        <v>50171.137357869768</v>
      </c>
      <c r="L293" s="37">
        <v>2.5000000000000001E-2</v>
      </c>
      <c r="M293" s="36">
        <f t="shared" si="63"/>
        <v>100</v>
      </c>
      <c r="N293" s="36">
        <f t="shared" si="67"/>
        <v>2057116.6316726604</v>
      </c>
      <c r="P293" s="38">
        <f t="shared" si="68"/>
        <v>14342.05</v>
      </c>
      <c r="Q293" s="56"/>
      <c r="R293" s="40"/>
      <c r="S293" s="36">
        <f t="shared" si="59"/>
        <v>100</v>
      </c>
      <c r="T293" s="36">
        <f t="shared" si="64"/>
        <v>14442.05</v>
      </c>
      <c r="U293" s="41">
        <f>IF(SUM($U$4:U292)=1,0,IF(SUM($Q$4:Q293)&gt;39891.29,1,0))</f>
        <v>0</v>
      </c>
      <c r="V293" s="36"/>
      <c r="W293" s="36"/>
      <c r="X293" s="36"/>
      <c r="Y293" s="36"/>
      <c r="AA293" s="42"/>
      <c r="AB293" s="42"/>
      <c r="AC293" s="43"/>
      <c r="AD293" s="43"/>
      <c r="AE293" s="42"/>
      <c r="AF293" s="44"/>
      <c r="AG293" s="45"/>
      <c r="AH293" s="43"/>
      <c r="AI293" s="46"/>
      <c r="AJ293" s="47"/>
      <c r="AL293" s="66">
        <f t="shared" si="70"/>
        <v>1.5549376110951802E-2</v>
      </c>
      <c r="AV293" s="32"/>
    </row>
    <row r="294" spans="2:48" ht="16.5" thickBot="1" x14ac:dyDescent="0.3">
      <c r="B294" s="15">
        <v>291</v>
      </c>
      <c r="C294" s="16">
        <f t="shared" si="65"/>
        <v>47798</v>
      </c>
      <c r="D294" s="17">
        <f t="shared" si="60"/>
        <v>2030</v>
      </c>
      <c r="E294" s="18">
        <f t="shared" si="66"/>
        <v>943911.73999999929</v>
      </c>
      <c r="F294" s="18">
        <v>14450.98</v>
      </c>
      <c r="G294" s="19">
        <f t="shared" si="61"/>
        <v>1.5309672914969794E-2</v>
      </c>
      <c r="H294" s="18">
        <f t="shared" si="69"/>
        <v>0</v>
      </c>
      <c r="I294" s="18">
        <f t="shared" si="62"/>
        <v>958362.71999999927</v>
      </c>
      <c r="K294" s="18">
        <f t="shared" si="58"/>
        <v>51427.915791816515</v>
      </c>
      <c r="L294" s="19">
        <v>2.5000000000000001E-2</v>
      </c>
      <c r="M294" s="18">
        <f t="shared" si="63"/>
        <v>0</v>
      </c>
      <c r="N294" s="18">
        <f t="shared" si="67"/>
        <v>2108544.5474644769</v>
      </c>
      <c r="P294" s="20">
        <f t="shared" si="68"/>
        <v>14442.05</v>
      </c>
      <c r="Q294" s="59"/>
      <c r="R294" s="22"/>
      <c r="S294" s="18">
        <f t="shared" si="59"/>
        <v>0</v>
      </c>
      <c r="T294" s="18">
        <f t="shared" si="64"/>
        <v>14442.05</v>
      </c>
      <c r="U294" s="41">
        <f>IF(SUM($U$4:U293)=1,0,IF(SUM($Q$4:Q294)&gt;39891.29,1,0))</f>
        <v>0</v>
      </c>
      <c r="V294" s="23"/>
      <c r="W294" s="23"/>
      <c r="X294" s="23"/>
      <c r="Y294" s="23"/>
      <c r="AA294" s="51"/>
      <c r="AB294" s="51"/>
      <c r="AC294" s="52"/>
      <c r="AD294" s="52"/>
      <c r="AE294" s="51"/>
      <c r="AF294" s="53"/>
      <c r="AG294" s="54"/>
      <c r="AH294" s="52"/>
      <c r="AI294" s="28"/>
      <c r="AJ294" s="55"/>
      <c r="AL294" s="66">
        <f t="shared" si="70"/>
        <v>1.5309672914969794E-2</v>
      </c>
      <c r="AV294" s="32"/>
    </row>
    <row r="295" spans="2:48" ht="16.5" thickBot="1" x14ac:dyDescent="0.3">
      <c r="B295" s="33">
        <v>292</v>
      </c>
      <c r="C295" s="34">
        <f t="shared" si="65"/>
        <v>47805</v>
      </c>
      <c r="D295" s="35">
        <f t="shared" si="60"/>
        <v>2030</v>
      </c>
      <c r="E295" s="36">
        <f t="shared" si="66"/>
        <v>958362.71999999927</v>
      </c>
      <c r="F295" s="36">
        <v>14450.98</v>
      </c>
      <c r="G295" s="37">
        <f t="shared" si="61"/>
        <v>1.5078821096045985E-2</v>
      </c>
      <c r="H295" s="36">
        <f t="shared" si="69"/>
        <v>100</v>
      </c>
      <c r="I295" s="36">
        <f t="shared" si="62"/>
        <v>972913.69999999925</v>
      </c>
      <c r="K295" s="36">
        <f t="shared" si="58"/>
        <v>52713.613686611927</v>
      </c>
      <c r="L295" s="37">
        <v>2.5000000000000001E-2</v>
      </c>
      <c r="M295" s="36">
        <f t="shared" si="63"/>
        <v>100</v>
      </c>
      <c r="N295" s="36">
        <f t="shared" si="67"/>
        <v>2161358.1611510888</v>
      </c>
      <c r="P295" s="38">
        <f t="shared" si="68"/>
        <v>14442.05</v>
      </c>
      <c r="Q295" s="56"/>
      <c r="R295" s="40"/>
      <c r="S295" s="36">
        <f t="shared" si="59"/>
        <v>100</v>
      </c>
      <c r="T295" s="36">
        <f t="shared" si="64"/>
        <v>14542.05</v>
      </c>
      <c r="U295" s="41">
        <f>IF(SUM($U$4:U294)=1,0,IF(SUM($Q$4:Q295)&gt;39891.29,1,0))</f>
        <v>0</v>
      </c>
      <c r="V295" s="36"/>
      <c r="W295" s="36"/>
      <c r="X295" s="36"/>
      <c r="Y295" s="36"/>
      <c r="AA295" s="42"/>
      <c r="AB295" s="42"/>
      <c r="AC295" s="43"/>
      <c r="AD295" s="43"/>
      <c r="AE295" s="42"/>
      <c r="AF295" s="44"/>
      <c r="AG295" s="45"/>
      <c r="AH295" s="43"/>
      <c r="AI295" s="46"/>
      <c r="AJ295" s="47"/>
      <c r="AL295" s="66">
        <f t="shared" si="70"/>
        <v>1.5078821096045985E-2</v>
      </c>
      <c r="AV295" s="32"/>
    </row>
    <row r="296" spans="2:48" ht="16.5" thickBot="1" x14ac:dyDescent="0.3">
      <c r="B296" s="15">
        <v>293</v>
      </c>
      <c r="C296" s="16">
        <f t="shared" si="65"/>
        <v>47812</v>
      </c>
      <c r="D296" s="17">
        <f t="shared" si="60"/>
        <v>2030</v>
      </c>
      <c r="E296" s="18">
        <f t="shared" si="66"/>
        <v>972913.69999999925</v>
      </c>
      <c r="F296" s="18">
        <v>14450.98</v>
      </c>
      <c r="G296" s="19">
        <f t="shared" si="61"/>
        <v>1.4853300965954134E-2</v>
      </c>
      <c r="H296" s="18">
        <f t="shared" si="69"/>
        <v>0</v>
      </c>
      <c r="I296" s="18">
        <f t="shared" si="62"/>
        <v>987364.67999999924</v>
      </c>
      <c r="K296" s="18">
        <f t="shared" si="58"/>
        <v>54033.954028777225</v>
      </c>
      <c r="L296" s="19">
        <v>2.5000000000000001E-2</v>
      </c>
      <c r="M296" s="18">
        <f t="shared" si="63"/>
        <v>0</v>
      </c>
      <c r="N296" s="18">
        <f t="shared" si="67"/>
        <v>2215392.1151798661</v>
      </c>
      <c r="P296" s="20">
        <f t="shared" si="68"/>
        <v>14542.05</v>
      </c>
      <c r="Q296" s="59"/>
      <c r="R296" s="22"/>
      <c r="S296" s="18">
        <f t="shared" si="59"/>
        <v>0</v>
      </c>
      <c r="T296" s="18">
        <f t="shared" si="64"/>
        <v>14542.05</v>
      </c>
      <c r="U296" s="41">
        <f>IF(SUM($U$4:U295)=1,0,IF(SUM($Q$4:Q296)&gt;39891.29,1,0))</f>
        <v>0</v>
      </c>
      <c r="V296" s="23"/>
      <c r="W296" s="23"/>
      <c r="X296" s="23"/>
      <c r="Y296" s="23"/>
      <c r="AA296" s="51"/>
      <c r="AB296" s="51"/>
      <c r="AC296" s="52"/>
      <c r="AD296" s="52"/>
      <c r="AE296" s="51"/>
      <c r="AF296" s="53"/>
      <c r="AG296" s="54"/>
      <c r="AH296" s="52"/>
      <c r="AI296" s="28"/>
      <c r="AJ296" s="55"/>
      <c r="AL296" s="66">
        <f t="shared" si="70"/>
        <v>1.4853300965954134E-2</v>
      </c>
      <c r="AV296" s="32"/>
    </row>
    <row r="297" spans="2:48" ht="16.5" thickBot="1" x14ac:dyDescent="0.3">
      <c r="B297" s="33">
        <v>294</v>
      </c>
      <c r="C297" s="34">
        <f t="shared" si="65"/>
        <v>47819</v>
      </c>
      <c r="D297" s="35">
        <f t="shared" si="60"/>
        <v>2030</v>
      </c>
      <c r="E297" s="36">
        <f t="shared" si="66"/>
        <v>987364.67999999924</v>
      </c>
      <c r="F297" s="36">
        <v>14450.98</v>
      </c>
      <c r="G297" s="37">
        <f t="shared" si="61"/>
        <v>1.4635909398744151E-2</v>
      </c>
      <c r="H297" s="36">
        <f t="shared" si="69"/>
        <v>100</v>
      </c>
      <c r="I297" s="36">
        <f t="shared" si="62"/>
        <v>1001915.6599999992</v>
      </c>
      <c r="K297" s="36">
        <f t="shared" si="58"/>
        <v>55384.802879496652</v>
      </c>
      <c r="L297" s="37">
        <v>2.5000000000000001E-2</v>
      </c>
      <c r="M297" s="36">
        <f t="shared" si="63"/>
        <v>100</v>
      </c>
      <c r="N297" s="36">
        <f t="shared" si="67"/>
        <v>2270876.9180593626</v>
      </c>
      <c r="P297" s="38">
        <f t="shared" si="68"/>
        <v>14542.05</v>
      </c>
      <c r="Q297" s="56"/>
      <c r="R297" s="40"/>
      <c r="S297" s="36">
        <f t="shared" si="59"/>
        <v>100</v>
      </c>
      <c r="T297" s="36">
        <f t="shared" si="64"/>
        <v>14642.05</v>
      </c>
      <c r="U297" s="41">
        <f>IF(SUM($U$4:U296)=1,0,IF(SUM($Q$4:Q297)&gt;39891.29,1,0))</f>
        <v>0</v>
      </c>
      <c r="V297" s="36"/>
      <c r="W297" s="36"/>
      <c r="X297" s="36"/>
      <c r="Y297" s="36"/>
      <c r="AA297" s="42"/>
      <c r="AB297" s="42"/>
      <c r="AC297" s="43"/>
      <c r="AD297" s="43"/>
      <c r="AE297" s="42"/>
      <c r="AF297" s="44"/>
      <c r="AG297" s="45"/>
      <c r="AH297" s="43"/>
      <c r="AI297" s="46"/>
      <c r="AJ297" s="47"/>
      <c r="AL297" s="66">
        <f t="shared" si="70"/>
        <v>1.4635909398744151E-2</v>
      </c>
      <c r="AV297" s="32"/>
    </row>
    <row r="298" spans="2:48" ht="16.5" thickBot="1" x14ac:dyDescent="0.3">
      <c r="B298" s="15">
        <v>295</v>
      </c>
      <c r="C298" s="16">
        <f t="shared" si="65"/>
        <v>47826</v>
      </c>
      <c r="D298" s="17">
        <f t="shared" si="60"/>
        <v>2030</v>
      </c>
      <c r="E298" s="18">
        <f t="shared" si="66"/>
        <v>1001915.6599999992</v>
      </c>
      <c r="F298" s="18">
        <v>14450.98</v>
      </c>
      <c r="G298" s="19">
        <f t="shared" si="61"/>
        <v>1.4423349765787682E-2</v>
      </c>
      <c r="H298" s="18">
        <f t="shared" si="69"/>
        <v>0</v>
      </c>
      <c r="I298" s="18">
        <f t="shared" si="62"/>
        <v>1016366.6399999992</v>
      </c>
      <c r="K298" s="18">
        <f t="shared" si="58"/>
        <v>56771.92295148407</v>
      </c>
      <c r="L298" s="19">
        <v>2.5000000000000001E-2</v>
      </c>
      <c r="M298" s="18">
        <f t="shared" si="63"/>
        <v>0</v>
      </c>
      <c r="N298" s="18">
        <f t="shared" si="67"/>
        <v>2327648.8410108467</v>
      </c>
      <c r="P298" s="20">
        <f t="shared" si="68"/>
        <v>14642.05</v>
      </c>
      <c r="Q298" s="59"/>
      <c r="R298" s="22"/>
      <c r="S298" s="18">
        <f t="shared" si="59"/>
        <v>0</v>
      </c>
      <c r="T298" s="18">
        <f t="shared" si="64"/>
        <v>14642.05</v>
      </c>
      <c r="U298" s="41">
        <f>IF(SUM($U$4:U297)=1,0,IF(SUM($Q$4:Q298)&gt;39891.29,1,0))</f>
        <v>0</v>
      </c>
      <c r="V298" s="23"/>
      <c r="W298" s="23"/>
      <c r="X298" s="23"/>
      <c r="Y298" s="23"/>
      <c r="AA298" s="51"/>
      <c r="AB298" s="51"/>
      <c r="AC298" s="52"/>
      <c r="AD298" s="52"/>
      <c r="AE298" s="51"/>
      <c r="AF298" s="53"/>
      <c r="AG298" s="54"/>
      <c r="AH298" s="52"/>
      <c r="AI298" s="28"/>
      <c r="AJ298" s="55"/>
      <c r="AL298" s="66">
        <f t="shared" si="70"/>
        <v>1.4423349765787682E-2</v>
      </c>
      <c r="AV298" s="32"/>
    </row>
    <row r="299" spans="2:48" ht="16.5" thickBot="1" x14ac:dyDescent="0.3">
      <c r="B299" s="33">
        <v>296</v>
      </c>
      <c r="C299" s="34">
        <f t="shared" si="65"/>
        <v>47833</v>
      </c>
      <c r="D299" s="35">
        <f t="shared" si="60"/>
        <v>2030</v>
      </c>
      <c r="E299" s="36">
        <f t="shared" si="66"/>
        <v>1016366.6399999992</v>
      </c>
      <c r="F299" s="36">
        <v>14450.98</v>
      </c>
      <c r="G299" s="37">
        <f t="shared" si="61"/>
        <v>1.4218274617907581E-2</v>
      </c>
      <c r="H299" s="36">
        <f t="shared" si="69"/>
        <v>100</v>
      </c>
      <c r="I299" s="36">
        <f t="shared" si="62"/>
        <v>1030917.6199999992</v>
      </c>
      <c r="K299" s="36">
        <f t="shared" ref="K299:K301" si="71">L299*N298</f>
        <v>58191.221025271167</v>
      </c>
      <c r="L299" s="37">
        <v>2.5000000000000001E-2</v>
      </c>
      <c r="M299" s="36">
        <f t="shared" si="63"/>
        <v>100</v>
      </c>
      <c r="N299" s="36">
        <f t="shared" si="67"/>
        <v>2385940.062036118</v>
      </c>
      <c r="P299" s="38">
        <f t="shared" si="68"/>
        <v>14642.05</v>
      </c>
      <c r="Q299" s="56"/>
      <c r="R299" s="40"/>
      <c r="S299" s="36">
        <f t="shared" si="59"/>
        <v>100</v>
      </c>
      <c r="T299" s="36">
        <f t="shared" si="64"/>
        <v>14742.05</v>
      </c>
      <c r="U299" s="41">
        <f>IF(SUM($U$4:U298)=1,0,IF(SUM($Q$4:Q299)&gt;39891.29,1,0))</f>
        <v>0</v>
      </c>
      <c r="V299" s="36"/>
      <c r="W299" s="36"/>
      <c r="X299" s="36"/>
      <c r="Y299" s="36"/>
      <c r="AA299" s="42"/>
      <c r="AB299" s="42"/>
      <c r="AC299" s="43"/>
      <c r="AD299" s="43"/>
      <c r="AE299" s="42"/>
      <c r="AF299" s="44"/>
      <c r="AG299" s="45"/>
      <c r="AH299" s="43"/>
      <c r="AI299" s="46"/>
      <c r="AJ299" s="47"/>
      <c r="AL299" s="66">
        <f t="shared" si="70"/>
        <v>1.4218274617907581E-2</v>
      </c>
      <c r="AV299" s="32"/>
    </row>
    <row r="300" spans="2:48" ht="16.5" thickBot="1" x14ac:dyDescent="0.3">
      <c r="B300" s="15">
        <v>297</v>
      </c>
      <c r="C300" s="16">
        <f t="shared" si="65"/>
        <v>47840</v>
      </c>
      <c r="D300" s="17">
        <f t="shared" si="60"/>
        <v>2030</v>
      </c>
      <c r="E300" s="18">
        <f t="shared" si="66"/>
        <v>1030917.6199999992</v>
      </c>
      <c r="F300" s="18">
        <v>14450.98</v>
      </c>
      <c r="G300" s="19">
        <f t="shared" si="61"/>
        <v>1.4017589494687278E-2</v>
      </c>
      <c r="H300" s="18">
        <f t="shared" si="69"/>
        <v>0</v>
      </c>
      <c r="I300" s="18">
        <f t="shared" si="62"/>
        <v>1045368.5999999992</v>
      </c>
      <c r="K300" s="18">
        <f t="shared" si="71"/>
        <v>59648.501550902954</v>
      </c>
      <c r="L300" s="19">
        <v>2.5000000000000001E-2</v>
      </c>
      <c r="M300" s="18">
        <f t="shared" si="63"/>
        <v>0</v>
      </c>
      <c r="N300" s="18">
        <f t="shared" si="67"/>
        <v>2445588.5635870211</v>
      </c>
      <c r="P300" s="20">
        <f t="shared" si="68"/>
        <v>14742.05</v>
      </c>
      <c r="Q300" s="59"/>
      <c r="R300" s="22"/>
      <c r="S300" s="18">
        <f t="shared" si="59"/>
        <v>0</v>
      </c>
      <c r="T300" s="18">
        <f t="shared" si="64"/>
        <v>14742.05</v>
      </c>
      <c r="U300" s="41">
        <f>IF(SUM($U$4:U299)=1,0,IF(SUM($Q$4:Q300)&gt;39891.29,1,0))</f>
        <v>0</v>
      </c>
      <c r="V300" s="23"/>
      <c r="W300" s="23"/>
      <c r="X300" s="23"/>
      <c r="Y300" s="23"/>
      <c r="AA300" s="51"/>
      <c r="AB300" s="51"/>
      <c r="AC300" s="52"/>
      <c r="AD300" s="52"/>
      <c r="AE300" s="51"/>
      <c r="AF300" s="53"/>
      <c r="AG300" s="54"/>
      <c r="AH300" s="52"/>
      <c r="AI300" s="28"/>
      <c r="AJ300" s="55"/>
      <c r="AL300" s="66">
        <f t="shared" si="70"/>
        <v>1.4017589494687278E-2</v>
      </c>
      <c r="AV300" s="32"/>
    </row>
    <row r="301" spans="2:48" ht="16.5" thickBot="1" x14ac:dyDescent="0.3">
      <c r="B301" s="33">
        <v>298</v>
      </c>
      <c r="C301" s="34">
        <f t="shared" si="65"/>
        <v>47847</v>
      </c>
      <c r="D301" s="35">
        <f t="shared" si="60"/>
        <v>2030</v>
      </c>
      <c r="E301" s="36">
        <f t="shared" si="66"/>
        <v>1045368.5999999992</v>
      </c>
      <c r="F301" s="36">
        <v>14450.98</v>
      </c>
      <c r="G301" s="37">
        <f t="shared" si="61"/>
        <v>1.3823812959371471E-2</v>
      </c>
      <c r="H301" s="36">
        <f t="shared" si="69"/>
        <v>100</v>
      </c>
      <c r="I301" s="36">
        <f t="shared" si="62"/>
        <v>1059919.5799999991</v>
      </c>
      <c r="K301" s="36">
        <f t="shared" si="71"/>
        <v>61139.71408967553</v>
      </c>
      <c r="L301" s="37">
        <v>2.5000000000000001E-2</v>
      </c>
      <c r="M301" s="36">
        <f t="shared" si="63"/>
        <v>100</v>
      </c>
      <c r="N301" s="36">
        <f t="shared" si="67"/>
        <v>2506828.2776766964</v>
      </c>
      <c r="P301" s="38">
        <f t="shared" si="68"/>
        <v>14742.05</v>
      </c>
      <c r="Q301" s="144"/>
      <c r="R301" s="40"/>
      <c r="S301" s="36">
        <f t="shared" si="59"/>
        <v>100</v>
      </c>
      <c r="T301" s="36">
        <f t="shared" si="64"/>
        <v>14842.05</v>
      </c>
      <c r="U301" s="41">
        <f>IF(SUM($U$4:U300)=1,0,IF(SUM($Q$4:Q301)&gt;39891.29,1,0))</f>
        <v>0</v>
      </c>
      <c r="V301" s="36"/>
      <c r="W301" s="36"/>
      <c r="X301" s="36"/>
      <c r="Y301" s="36"/>
      <c r="AA301" s="42"/>
      <c r="AB301" s="42"/>
      <c r="AC301" s="43"/>
      <c r="AD301" s="43"/>
      <c r="AE301" s="42"/>
      <c r="AF301" s="44"/>
      <c r="AG301" s="45"/>
      <c r="AH301" s="43"/>
      <c r="AI301" s="46"/>
      <c r="AJ301" s="47"/>
      <c r="AL301" s="66">
        <f t="shared" si="70"/>
        <v>1.3823812959371471E-2</v>
      </c>
      <c r="AV301" s="32"/>
    </row>
  </sheetData>
  <conditionalFormatting sqref="Q4:R301">
    <cfRule type="cellIs" dxfId="8" priority="1" operator="lessThan">
      <formula>0</formula>
    </cfRule>
    <cfRule type="cellIs" dxfId="7" priority="2" operator="greaterThan">
      <formula>0</formula>
    </cfRule>
  </conditionalFormatting>
  <conditionalFormatting sqref="U5:U301">
    <cfRule type="cellIs" dxfId="6" priority="3" operator="equal">
      <formula>1</formula>
    </cfRule>
  </conditionalFormatting>
  <conditionalFormatting sqref="V4:Y301">
    <cfRule type="cellIs" dxfId="5" priority="4" operator="lessThan">
      <formula>0</formula>
    </cfRule>
    <cfRule type="cellIs" dxfId="4" priority="5" operator="greaterThan">
      <formula>0</formula>
    </cfRule>
  </conditionalFormatting>
  <conditionalFormatting sqref="AJ4:AJ301">
    <cfRule type="cellIs" dxfId="3" priority="6" operator="lessThan">
      <formula>0</formula>
    </cfRule>
    <cfRule type="cellIs" dxfId="2" priority="7" operator="greaterThan">
      <formula>0</formula>
    </cfRule>
  </conditionalFormatting>
  <conditionalFormatting sqref="AM10">
    <cfRule type="cellIs" dxfId="1" priority="8" operator="lessThan">
      <formula>0</formula>
    </cfRule>
    <cfRule type="cellIs" dxfId="0" priority="9" operator="greaterThan">
      <formula>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86FF4-16A2-4AED-AD7F-15983F39EA68}">
  <sheetPr>
    <tabColor theme="3" tint="0.89999084444715716"/>
  </sheetPr>
  <dimension ref="A1"/>
  <sheetViews>
    <sheetView showGridLines="0" zoomScale="145" zoomScaleNormal="145" workbookViewId="0">
      <selection activeCell="Q66" sqref="Q66"/>
    </sheetView>
  </sheetViews>
  <sheetFormatPr defaultColWidth="9.140625" defaultRowHeight="15" x14ac:dyDescent="0.25"/>
  <cols>
    <col min="1" max="16384" width="9.140625" style="145"/>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Options</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Caullen Parker</dc:creator>
  <cp:lastModifiedBy>Caullen Parker</cp:lastModifiedBy>
  <dcterms:created xsi:type="dcterms:W3CDTF">2026-06-24T23:01:52Z</dcterms:created>
  <dcterms:modified xsi:type="dcterms:W3CDTF">2026-06-24T23:02:46Z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surance" linkTarget="Prop_Insurance">
    <vt:lpwstr>#VALUE!</vt:lpwstr>
  </property>
  <property fmtid="{D5CDD505-2E9C-101B-9397-08002B2CF9AE}" pid="3" name="Mgt_Fee" linkTarget="Prop_Mgt_Fee">
    <vt:lpwstr>#VALUE!</vt:lpwstr>
  </property>
</Properties>
</file>